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nttlimited-my.sharepoint.com/personal/sukanya_govindarajan_global_ntt/Documents/Desktop/Excel/Power BI/New folder/"/>
    </mc:Choice>
  </mc:AlternateContent>
  <xr:revisionPtr revIDLastSave="337" documentId="8_{BF4929DE-783E-4A79-B496-A6C9428A8E9E}" xr6:coauthVersionLast="47" xr6:coauthVersionMax="47" xr10:uidLastSave="{FFC0D94E-58CB-4331-B416-F0D74C9C7000}"/>
  <bookViews>
    <workbookView xWindow="-110" yWindow="-110" windowWidth="19420" windowHeight="10300" firstSheet="5" activeTab="6" xr2:uid="{090DF35C-C086-4D14-9998-1E658D163BAB}"/>
  </bookViews>
  <sheets>
    <sheet name="Category wise sales of payment " sheetId="2" r:id="rId1"/>
    <sheet name="Location wise sales" sheetId="3" r:id="rId2"/>
    <sheet name="Location wise total amount" sheetId="5" r:id="rId3"/>
    <sheet name="Total Sales Category Pivot" sheetId="6" r:id="rId4"/>
    <sheet name="Payment method sales" sheetId="10" r:id="rId5"/>
    <sheet name="retail storesales" sheetId="1" r:id="rId6"/>
    <sheet name="Dash Board" sheetId="9" r:id="rId7"/>
  </sheets>
  <calcPr calcId="191029"/>
  <pivotCaches>
    <pivotCache cacheId="4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3" i="1" l="1"/>
  <c r="C505" i="1" l="1"/>
</calcChain>
</file>

<file path=xl/sharedStrings.xml><?xml version="1.0" encoding="utf-8"?>
<sst xmlns="http://schemas.openxmlformats.org/spreadsheetml/2006/main" count="3062" uniqueCount="718">
  <si>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</si>
  <si>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</si>
  <si>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</si>
  <si>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</si>
  <si>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</si>
  <si>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</si>
  <si>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</si>
  <si>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</si>
  <si>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</si>
  <si>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</si>
  <si>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</si>
  <si>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</si>
  <si>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</si>
  <si>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</si>
  <si>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</si>
  <si>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</si>
  <si>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</si>
  <si>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</si>
  <si>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</si>
  <si>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</si>
  <si>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</si>
  <si>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</si>
  <si>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</si>
  <si>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</si>
  <si>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</si>
  <si>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</si>
  <si>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</si>
  <si>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</si>
  <si>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</si>
  <si>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</si>
  <si>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</si>
  <si>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</si>
  <si>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</si>
  <si>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</si>
  <si>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</si>
  <si>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</si>
  <si>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</si>
  <si>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</si>
  <si>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</si>
  <si>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</si>
  <si>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</si>
  <si>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</si>
  <si>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Item_20_FUR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</si>
  <si>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</si>
  <si>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</si>
  <si>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</si>
  <si>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</si>
  <si>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</si>
  <si>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</si>
  <si>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</si>
  <si>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</si>
  <si>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</si>
  <si>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</si>
  <si>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</si>
  <si>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</si>
  <si>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</si>
  <si>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</si>
  <si>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</si>
  <si>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</si>
  <si>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</si>
  <si>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</si>
  <si>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Item_14_BEV</t>
  </si>
  <si>
    <t>TXN_7563311</t>
  </si>
  <si>
    <t>Item_17_PAT</t>
  </si>
  <si>
    <t>TXN_9634894</t>
  </si>
  <si>
    <t>CUST_15</t>
  </si>
  <si>
    <t>Item_19_MILK</t>
  </si>
  <si>
    <t>TXN_4396807</t>
  </si>
  <si>
    <t>CUST_17</t>
  </si>
  <si>
    <t>Electric household essentials</t>
  </si>
  <si>
    <t>Item_13_EHE</t>
  </si>
  <si>
    <t>TXN_4206593</t>
  </si>
  <si>
    <t>CUST_01</t>
  </si>
  <si>
    <t>Item_21_FUR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</si>
  <si>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</si>
  <si>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</si>
  <si>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</si>
  <si>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</si>
  <si>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</si>
  <si>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</si>
  <si>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</si>
  <si>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</si>
  <si>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</si>
  <si>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</si>
  <si>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</si>
  <si>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</si>
  <si>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</si>
  <si>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Item_24_FUR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</si>
  <si>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</si>
  <si>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</si>
  <si>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</si>
  <si>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</si>
  <si>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</si>
  <si>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</si>
  <si>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</si>
  <si>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</si>
  <si>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</si>
  <si>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</si>
  <si>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</si>
  <si>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</si>
  <si>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</si>
  <si>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</si>
  <si>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</si>
  <si>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</si>
  <si>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</si>
  <si>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</si>
  <si>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</si>
  <si>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</si>
  <si>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</si>
  <si>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</si>
  <si>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</si>
  <si>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</si>
  <si>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</si>
  <si>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</si>
  <si>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</si>
  <si>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</si>
  <si>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</si>
  <si>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</si>
  <si>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</si>
  <si>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</si>
  <si>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</si>
  <si>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</si>
  <si>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</si>
  <si>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</si>
  <si>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</si>
  <si>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</si>
  <si>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</si>
  <si>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</si>
  <si>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</si>
  <si>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</si>
  <si>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</si>
  <si>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</si>
  <si>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</si>
  <si>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</si>
  <si>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</si>
  <si>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</si>
  <si>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</si>
  <si>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</si>
  <si>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</si>
  <si>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</si>
  <si>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</si>
  <si>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</si>
  <si>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</si>
  <si>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</si>
  <si>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</si>
  <si>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</si>
  <si>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</si>
  <si>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</si>
  <si>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</si>
  <si>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</si>
  <si>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</si>
  <si>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</si>
  <si>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</si>
  <si>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</si>
  <si>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</si>
  <si>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</si>
  <si>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</si>
  <si>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</si>
  <si>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</si>
  <si>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</si>
  <si>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</si>
  <si>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</si>
  <si>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</si>
  <si>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</si>
  <si>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</si>
  <si>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</si>
  <si>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</si>
  <si>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</si>
  <si>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</si>
  <si>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</si>
  <si>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</si>
  <si>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</si>
  <si>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</si>
  <si>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</si>
  <si>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</si>
  <si>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</si>
  <si>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</si>
  <si>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</si>
  <si>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</si>
  <si>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</si>
  <si>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</si>
  <si>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</si>
  <si>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</si>
  <si>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</si>
  <si>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</si>
  <si>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</si>
  <si>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</si>
  <si>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</si>
  <si>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</si>
  <si>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</si>
  <si>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</si>
  <si>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</si>
  <si>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</si>
  <si>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</si>
  <si>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</si>
  <si>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</si>
  <si>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</si>
  <si>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</si>
  <si>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</si>
  <si>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</si>
  <si>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</si>
  <si>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TXN_2646301</t>
  </si>
  <si>
    <t>TXN_2414530</t>
  </si>
  <si>
    <t>Item_8_MILK</t>
  </si>
  <si>
    <t>TXN_8322008</t>
  </si>
  <si>
    <t>Item_4_FOOD</t>
  </si>
  <si>
    <t>TXN_3035546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</si>
  <si>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</si>
  <si>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</si>
  <si>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</si>
  <si>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</si>
  <si>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</si>
  <si>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</si>
  <si>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</si>
  <si>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</si>
  <si>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</si>
  <si>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</si>
  <si>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</si>
  <si>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</si>
  <si>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</si>
  <si>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</si>
  <si>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</si>
  <si>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</si>
  <si>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</si>
  <si>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</si>
  <si>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</si>
  <si>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</si>
  <si>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</si>
  <si>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</si>
  <si>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</si>
  <si>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</si>
  <si>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</si>
  <si>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</si>
  <si>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</si>
  <si>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</si>
  <si>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</si>
  <si>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</si>
  <si>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</si>
  <si>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</si>
  <si>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</si>
  <si>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Item_11_CEA</t>
  </si>
  <si>
    <t>TXN_7655704</t>
  </si>
  <si>
    <t>Item_21_CEA</t>
  </si>
  <si>
    <t>TXN_8210621</t>
  </si>
  <si>
    <t>Item_24_BEV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</si>
  <si>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</si>
  <si>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</si>
  <si>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</si>
  <si>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</si>
  <si>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</si>
  <si>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</si>
  <si>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</si>
  <si>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</si>
  <si>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</si>
  <si>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</si>
  <si>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</si>
  <si>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</si>
  <si>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</si>
  <si>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</si>
  <si>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</si>
  <si>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</si>
  <si>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</si>
  <si>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</si>
  <si>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</si>
  <si>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</si>
  <si>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</si>
  <si>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</si>
  <si>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</si>
  <si>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</si>
  <si>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</si>
  <si>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</si>
  <si>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</si>
  <si>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</si>
  <si>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</si>
  <si>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</si>
  <si>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</si>
  <si>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</si>
  <si>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</si>
  <si>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</si>
  <si>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</si>
  <si>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</si>
  <si>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</si>
  <si>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</si>
  <si>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</si>
  <si>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</si>
  <si>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</si>
  <si>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</si>
  <si>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</si>
  <si>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</si>
  <si>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</si>
  <si>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</si>
  <si>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</si>
  <si>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</si>
  <si>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</si>
  <si>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</si>
  <si>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</si>
  <si>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</si>
  <si>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</si>
  <si>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</si>
  <si>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</si>
  <si>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</si>
  <si>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</si>
  <si>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</si>
  <si>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</si>
  <si>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</si>
  <si>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</si>
  <si>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</si>
  <si>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</si>
  <si>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</si>
  <si>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</si>
  <si>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</si>
  <si>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</si>
  <si>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</si>
  <si>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</si>
  <si>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</si>
  <si>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</si>
  <si>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</si>
  <si>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</si>
  <si>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</si>
  <si>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</si>
  <si>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</si>
  <si>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</si>
  <si>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</si>
  <si>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</si>
  <si>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</si>
  <si>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</si>
  <si>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</si>
  <si>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</si>
  <si>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</si>
  <si>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</si>
  <si>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</si>
  <si>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</si>
  <si>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</si>
  <si>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</si>
  <si>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</si>
  <si>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</si>
  <si>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</si>
  <si>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</si>
  <si>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</si>
  <si>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</si>
  <si>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</si>
  <si>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</si>
  <si>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</si>
  <si>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</si>
  <si>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</si>
  <si>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</si>
  <si>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</si>
  <si>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</si>
  <si>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</si>
  <si>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</si>
  <si>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</si>
  <si>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</si>
  <si>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</si>
  <si>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</si>
  <si>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</si>
  <si>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</si>
  <si>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</si>
  <si>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</si>
  <si>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</si>
  <si>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</si>
  <si>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</si>
  <si>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</si>
  <si>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</si>
  <si>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</si>
  <si>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</si>
  <si>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</si>
  <si>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</si>
  <si>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</si>
  <si>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</si>
  <si>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</si>
  <si>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</si>
  <si>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</si>
  <si>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</si>
  <si>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</si>
  <si>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</si>
  <si>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</si>
  <si>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</si>
  <si>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</si>
  <si>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</si>
  <si>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</si>
  <si>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</si>
  <si>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</si>
  <si>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</si>
  <si>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</si>
  <si>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</si>
  <si>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</si>
  <si>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</si>
  <si>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</si>
  <si>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</si>
  <si>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</si>
  <si>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</si>
  <si>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</si>
  <si>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</si>
  <si>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</si>
  <si>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</si>
  <si>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</si>
  <si>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</si>
  <si>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</si>
  <si>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</si>
  <si>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</si>
  <si>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</si>
  <si>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</si>
  <si>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</si>
  <si>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</si>
  <si>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</si>
  <si>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</si>
  <si>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</si>
  <si>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</si>
  <si>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</si>
  <si>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</si>
  <si>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</si>
  <si>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</si>
  <si>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</si>
  <si>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</si>
  <si>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</si>
  <si>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</si>
  <si>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</si>
  <si>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</si>
  <si>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</si>
  <si>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</si>
  <si>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</si>
  <si>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</si>
  <si>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</si>
  <si>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</si>
  <si>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</si>
  <si>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</si>
  <si>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</si>
  <si>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</si>
  <si>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</si>
  <si>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</si>
  <si>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</si>
  <si>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</si>
  <si>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Item_6_FUR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</si>
  <si>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</si>
  <si>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</si>
  <si>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</si>
  <si>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</si>
  <si>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</si>
  <si>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</si>
  <si>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</si>
  <si>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</si>
  <si>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</si>
  <si>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</si>
  <si>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</si>
  <si>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</si>
  <si>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</si>
  <si>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</si>
  <si>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</si>
  <si>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</si>
  <si>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</si>
  <si>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</si>
  <si>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</si>
  <si>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</si>
  <si>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</si>
  <si>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</si>
  <si>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</si>
  <si>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</si>
  <si>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</si>
  <si>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</si>
  <si>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</si>
  <si>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</si>
  <si>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</si>
  <si>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</si>
  <si>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</si>
  <si>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</si>
  <si>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</si>
  <si>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</si>
  <si>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</si>
  <si>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</si>
  <si>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</si>
  <si>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</si>
  <si>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</si>
  <si>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</si>
  <si>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</si>
  <si>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</si>
  <si>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</si>
  <si>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</si>
  <si>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</si>
  <si>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</si>
  <si>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</si>
  <si>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</si>
  <si>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</si>
  <si>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</si>
  <si>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</si>
  <si>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</si>
  <si>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</si>
  <si>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</si>
  <si>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</si>
  <si>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</si>
  <si>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</si>
  <si>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</si>
  <si>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</si>
  <si>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</si>
  <si>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</si>
  <si>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</si>
  <si>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</si>
  <si>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</si>
  <si>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</si>
  <si>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</si>
  <si>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</si>
  <si>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</si>
  <si>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</si>
  <si>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</si>
  <si>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</si>
  <si>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</si>
  <si>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</si>
  <si>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</si>
  <si>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</si>
  <si>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</si>
  <si>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</si>
  <si>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</si>
  <si>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</si>
  <si>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</si>
  <si>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</si>
  <si>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</si>
  <si>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</si>
  <si>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</si>
  <si>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</si>
  <si>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</si>
  <si>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</si>
  <si>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</si>
  <si>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</si>
  <si>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</si>
  <si>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</si>
  <si>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</si>
  <si>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</si>
  <si>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</si>
  <si>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</si>
  <si>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</si>
  <si>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</si>
  <si>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</si>
  <si>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</si>
  <si>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</si>
  <si>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</si>
  <si>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</si>
  <si>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</si>
  <si>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</si>
  <si>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</si>
  <si>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</si>
  <si>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</si>
  <si>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</si>
  <si>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</si>
  <si>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</si>
  <si>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</si>
  <si>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</si>
  <si>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</si>
  <si>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</si>
  <si>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</si>
  <si>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</si>
  <si>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</si>
  <si>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</si>
  <si>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</si>
  <si>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</si>
  <si>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</si>
  <si>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</si>
  <si>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</si>
  <si>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</si>
  <si>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</si>
  <si>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</si>
  <si>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</si>
  <si>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</si>
  <si>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</si>
  <si>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Item_15_EHE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</si>
  <si>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</si>
  <si>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</si>
  <si>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</si>
  <si>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</si>
  <si>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</si>
  <si>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</si>
  <si>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</si>
  <si>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</si>
  <si>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</si>
  <si>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</si>
  <si>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</si>
  <si>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</si>
  <si>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</si>
  <si>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</si>
  <si>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</si>
  <si>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</si>
  <si>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</si>
  <si>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</si>
  <si>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</si>
  <si>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</si>
  <si>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</si>
  <si>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</si>
  <si>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</si>
  <si>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</si>
  <si>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</si>
  <si>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</si>
  <si>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</si>
  <si>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</si>
  <si>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</si>
  <si>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</si>
  <si>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</si>
  <si>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</si>
  <si>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</si>
  <si>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</si>
  <si>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</si>
  <si>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</si>
  <si>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</si>
  <si>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</si>
  <si>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</si>
  <si>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</si>
  <si>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</si>
  <si>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</si>
  <si>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</si>
  <si>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</si>
  <si>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</si>
  <si>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</si>
  <si>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</si>
  <si>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</si>
  <si>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</si>
  <si>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</si>
  <si>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</si>
  <si>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</si>
  <si>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</si>
  <si>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</si>
  <si>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</si>
  <si>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</si>
  <si>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</si>
  <si>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</si>
  <si>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</si>
  <si>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</si>
  <si>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</si>
  <si>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</si>
  <si>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</si>
  <si>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</si>
  <si>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</si>
  <si>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</si>
  <si>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</si>
  <si>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</si>
  <si>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</si>
  <si>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</si>
  <si>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</si>
  <si>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</si>
  <si>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</si>
  <si>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</si>
  <si>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</si>
  <si>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</si>
  <si>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</si>
  <si>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</si>
  <si>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</si>
  <si>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</si>
  <si>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</si>
  <si>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</si>
  <si>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</si>
  <si>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</si>
  <si>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</si>
  <si>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</si>
  <si>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</si>
  <si>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</si>
  <si>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</si>
  <si>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</si>
  <si>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</si>
  <si>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</si>
  <si>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</si>
  <si>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</si>
  <si>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</si>
  <si>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</si>
  <si>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</si>
  <si>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</si>
  <si>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</si>
  <si>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</si>
  <si>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</si>
  <si>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</si>
  <si>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</si>
  <si>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</si>
  <si>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</si>
  <si>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</si>
  <si>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</si>
  <si>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</si>
  <si>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</si>
  <si>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</si>
  <si>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</si>
  <si>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</si>
  <si>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</si>
  <si>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TXN_4283900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</si>
  <si>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</si>
  <si>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</si>
  <si>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</si>
  <si>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</si>
  <si>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</si>
  <si>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</si>
  <si>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</si>
  <si>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</si>
  <si>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</si>
  <si>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</si>
  <si>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</si>
  <si>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</si>
  <si>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</si>
  <si>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</si>
  <si>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</si>
  <si>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</si>
  <si>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</si>
  <si>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</si>
  <si>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</si>
  <si>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</si>
  <si>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</si>
  <si>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</si>
  <si>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</si>
  <si>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</si>
  <si>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</si>
  <si>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</si>
  <si>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</si>
  <si>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</si>
  <si>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</si>
  <si>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</si>
  <si>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</si>
  <si>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</si>
  <si>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</si>
  <si>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</si>
  <si>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Count of food product</t>
  </si>
  <si>
    <t>Minimum Product Rs 100</t>
  </si>
  <si>
    <t>Row Labels</t>
  </si>
  <si>
    <t>Grand Total</t>
  </si>
  <si>
    <t>Column Labels</t>
  </si>
  <si>
    <t>Sum of Total Spent</t>
  </si>
  <si>
    <t>Retail Sales Reports &amp; Insights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</si>
</sst>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40"/>
      <color rgb="FF118D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0" fillId="33" borderId="0" xfId="0" applyFill="1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storesales.xlsx]Category wise sales of payment !PivotTable8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wise sales of payment 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'!$B$5:$B$13</c:f>
              <c:numCache>
                <c:formatCode>General</c:formatCode>
                <c:ptCount val="8"/>
                <c:pt idx="0">
                  <c:v>1967</c:v>
                </c:pt>
                <c:pt idx="1">
                  <c:v>2245.5</c:v>
                </c:pt>
                <c:pt idx="2">
                  <c:v>4115</c:v>
                </c:pt>
                <c:pt idx="3">
                  <c:v>2194</c:v>
                </c:pt>
                <c:pt idx="4">
                  <c:v>3230</c:v>
                </c:pt>
                <c:pt idx="5">
                  <c:v>1638</c:v>
                </c:pt>
                <c:pt idx="6">
                  <c:v>1425</c:v>
                </c:pt>
                <c:pt idx="7">
                  <c:v>3396.5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3-485D-A3CD-8784A75EAFAB}"/>
            </c:ext>
          </c:extLst>
        </c:ser>
        <c:ser>
          <c:idx val="1"/>
          <c:order val="1"/>
          <c:tx>
            <c:strRef>
              <c:f>'Category wise sales of payment 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'!$C$5:$C$13</c:f>
              <c:numCache>
                <c:formatCode>General</c:formatCode>
                <c:ptCount val="8"/>
                <c:pt idx="0">
                  <c:v>2522</c:v>
                </c:pt>
                <c:pt idx="1">
                  <c:v>3253</c:v>
                </c:pt>
                <c:pt idx="2">
                  <c:v>2374</c:v>
                </c:pt>
                <c:pt idx="3">
                  <c:v>2444</c:v>
                </c:pt>
                <c:pt idx="4">
                  <c:v>2912.5</c:v>
                </c:pt>
                <c:pt idx="5">
                  <c:v>2583</c:v>
                </c:pt>
                <c:pt idx="6">
                  <c:v>1946</c:v>
                </c:pt>
                <c:pt idx="7">
                  <c:v>2424.5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3-485D-A3CD-8784A75EAFAB}"/>
            </c:ext>
          </c:extLst>
        </c:ser>
        <c:ser>
          <c:idx val="2"/>
          <c:order val="2"/>
          <c:tx>
            <c:strRef>
              <c:f>'Category wise sales of payment '!$D$3:$D$4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'!$D$5:$D$13</c:f>
              <c:numCache>
                <c:formatCode>General</c:formatCode>
                <c:ptCount val="8"/>
                <c:pt idx="0">
                  <c:v>2019</c:v>
                </c:pt>
                <c:pt idx="1">
                  <c:v>2471.5</c:v>
                </c:pt>
                <c:pt idx="2">
                  <c:v>2250</c:v>
                </c:pt>
                <c:pt idx="3">
                  <c:v>2340</c:v>
                </c:pt>
                <c:pt idx="4">
                  <c:v>2808</c:v>
                </c:pt>
                <c:pt idx="5">
                  <c:v>3166.5</c:v>
                </c:pt>
                <c:pt idx="6">
                  <c:v>3757</c:v>
                </c:pt>
                <c:pt idx="7">
                  <c:v>2954.5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3-485D-A3CD-8784A75EA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027696"/>
        <c:axId val="1720019536"/>
      </c:barChart>
      <c:catAx>
        <c:axId val="17200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19536"/>
        <c:crosses val="autoZero"/>
        <c:auto val="1"/>
        <c:lblAlgn val="ctr"/>
        <c:lblOffset val="100"/>
        <c:noMultiLvlLbl val="0"/>
      </c:catAx>
      <c:valAx>
        <c:axId val="17200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2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storesales.xlsx]Location wise sales!PivotTable9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'Location wise sales'!$B$3:$B$4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sales'!$B$5:$B$7</c:f>
              <c:numCache>
                <c:formatCode>General</c:formatCode>
                <c:ptCount val="2"/>
                <c:pt idx="0">
                  <c:v>8124.5</c:v>
                </c:pt>
                <c:pt idx="1">
                  <c:v>12086.5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0-43F6-99E7-82CB37B180F7}"/>
            </c:ext>
          </c:extLst>
        </c:ser>
        <c:ser>
          <c:idx val="1"/>
          <c:order val="1"/>
          <c:tx>
            <c:strRef>
              <c:f>'Location wise sales'!$C$3:$C$4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sales'!$C$5:$C$7</c:f>
              <c:numCache>
                <c:formatCode>General</c:formatCode>
                <c:ptCount val="2"/>
                <c:pt idx="0">
                  <c:v>10218</c:v>
                </c:pt>
                <c:pt idx="1">
                  <c:v>10241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A0-43F6-99E7-82CB37B180F7}"/>
            </c:ext>
          </c:extLst>
        </c:ser>
        <c:ser>
          <c:idx val="2"/>
          <c:order val="2"/>
          <c:tx>
            <c:strRef>
              <c:f>'Location wise sales'!$D$3:$D$4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sales'!$D$5:$D$7</c:f>
              <c:numCache>
                <c:formatCode>General</c:formatCode>
                <c:ptCount val="2"/>
                <c:pt idx="0">
                  <c:v>11448</c:v>
                </c:pt>
                <c:pt idx="1">
                  <c:v>10318.5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A0-43F6-99E7-82CB37B18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9724656"/>
        <c:axId val="1279728976"/>
        <c:axId val="0"/>
      </c:bar3DChart>
      <c:catAx>
        <c:axId val="127972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8976"/>
        <c:crosses val="autoZero"/>
        <c:auto val="1"/>
        <c:lblAlgn val="ctr"/>
        <c:lblOffset val="100"/>
        <c:noMultiLvlLbl val="0"/>
      </c:catAx>
      <c:valAx>
        <c:axId val="12797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storesales.xlsx]Location wise total amount!PivotTable11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'Location wise total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'Location wise total amount'!$A$4:$A$6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total amount'!$B$4:$B$6</c:f>
              <c:numCache>
                <c:formatCode>General</c:formatCode>
                <c:ptCount val="2"/>
                <c:pt idx="0">
                  <c:v>29790.5</c:v>
                </c:pt>
                <c:pt idx="1">
                  <c:v>32646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8-4B34-9D25-C1D0E14D5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storesales.xlsx]Total Sales Category Pivot!PivotTable12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Sales Category Pivot'!$B$3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Sales Category Pivot'!$A$4:$A$12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'Total Sales Category Pivot'!$B$4:$B$12</c:f>
              <c:numCache>
                <c:formatCode>General</c:formatCode>
                <c:ptCount val="8"/>
                <c:pt idx="0">
                  <c:v>6508</c:v>
                </c:pt>
                <c:pt idx="1">
                  <c:v>7970</c:v>
                </c:pt>
                <c:pt idx="2">
                  <c:v>8739</c:v>
                </c:pt>
                <c:pt idx="3">
                  <c:v>6978</c:v>
                </c:pt>
                <c:pt idx="4">
                  <c:v>8950.5</c:v>
                </c:pt>
                <c:pt idx="5">
                  <c:v>7387.5</c:v>
                </c:pt>
                <c:pt idx="6">
                  <c:v>7128</c:v>
                </c:pt>
                <c:pt idx="7">
                  <c:v>8775.5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E9-453A-B48E-FF2728C0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126192"/>
        <c:axId val="1671120432"/>
      </c:lineChart>
      <c:catAx>
        <c:axId val="167112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120432"/>
        <c:crosses val="autoZero"/>
        <c:auto val="1"/>
        <c:lblAlgn val="ctr"/>
        <c:lblOffset val="100"/>
        <c:noMultiLvlLbl val="0"/>
      </c:catAx>
      <c:valAx>
        <c:axId val="167112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12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storesales.xlsx]Payment method sales!PivotTable13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'Payment method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sales'!$A$4:$A$7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'Payment method sales'!$B$4:$B$7</c:f>
              <c:numCache>
                <c:formatCode>General</c:formatCode>
                <c:ptCount val="3"/>
                <c:pt idx="0">
                  <c:v>20211</c:v>
                </c:pt>
                <c:pt idx="1">
                  <c:v>20459</c:v>
                </c:pt>
                <c:pt idx="2">
                  <c:v>21766.5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F7-4F0F-9E56-8BB9D2DC4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storesales.xlsx]Category wise sales of payment 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of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wise sales of payment 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'!$B$5:$B$13</c:f>
              <c:numCache>
                <c:formatCode>General</c:formatCode>
                <c:ptCount val="8"/>
                <c:pt idx="0">
                  <c:v>1967</c:v>
                </c:pt>
                <c:pt idx="1">
                  <c:v>2245.5</c:v>
                </c:pt>
                <c:pt idx="2">
                  <c:v>4115</c:v>
                </c:pt>
                <c:pt idx="3">
                  <c:v>2194</c:v>
                </c:pt>
                <c:pt idx="4">
                  <c:v>3230</c:v>
                </c:pt>
                <c:pt idx="5">
                  <c:v>1638</c:v>
                </c:pt>
                <c:pt idx="6">
                  <c:v>1425</c:v>
                </c:pt>
                <c:pt idx="7">
                  <c:v>3396.5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2-455C-A512-8D3DBCF07C25}"/>
            </c:ext>
          </c:extLst>
        </c:ser>
        <c:ser>
          <c:idx val="1"/>
          <c:order val="1"/>
          <c:tx>
            <c:strRef>
              <c:f>'Category wise sales of payment 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'!$C$5:$C$13</c:f>
              <c:numCache>
                <c:formatCode>General</c:formatCode>
                <c:ptCount val="8"/>
                <c:pt idx="0">
                  <c:v>2522</c:v>
                </c:pt>
                <c:pt idx="1">
                  <c:v>3253</c:v>
                </c:pt>
                <c:pt idx="2">
                  <c:v>2374</c:v>
                </c:pt>
                <c:pt idx="3">
                  <c:v>2444</c:v>
                </c:pt>
                <c:pt idx="4">
                  <c:v>2912.5</c:v>
                </c:pt>
                <c:pt idx="5">
                  <c:v>2583</c:v>
                </c:pt>
                <c:pt idx="6">
                  <c:v>1946</c:v>
                </c:pt>
                <c:pt idx="7">
                  <c:v>2424.5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72-455C-A512-8D3DBCF07C25}"/>
            </c:ext>
          </c:extLst>
        </c:ser>
        <c:ser>
          <c:idx val="2"/>
          <c:order val="2"/>
          <c:tx>
            <c:strRef>
              <c:f>'Category wise sales of payment '!$D$3:$D$4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wise sales of payment '!$A$5:$A$13</c:f>
              <c:strCache>
                <c:ptCount val="8"/>
                <c:pt idx="0">
                  <c:v>Beverages</c:v>
                </c:pt>
                <c:pt idx="1">
                  <c:v>Butchers</c:v>
                </c:pt>
                <c:pt idx="2">
                  <c:v>Computers and electric accessories</c:v>
                </c:pt>
                <c:pt idx="3">
                  <c:v>Electric household essentials</c:v>
                </c:pt>
                <c:pt idx="4">
                  <c:v>Food</c:v>
                </c:pt>
                <c:pt idx="5">
                  <c:v>Furniture</c:v>
                </c:pt>
                <c:pt idx="6">
                  <c:v>Milk Products</c:v>
                </c:pt>
                <c:pt idx="7">
                  <c:v>Patisserie</c:v>
                </c:pt>
              </c:strCache>
            </c:strRef>
          </c:cat>
          <c:val>
            <c:numRef>
              <c:f>'Category wise sales of payment '!$D$5:$D$13</c:f>
              <c:numCache>
                <c:formatCode>General</c:formatCode>
                <c:ptCount val="8"/>
                <c:pt idx="0">
                  <c:v>2019</c:v>
                </c:pt>
                <c:pt idx="1">
                  <c:v>2471.5</c:v>
                </c:pt>
                <c:pt idx="2">
                  <c:v>2250</c:v>
                </c:pt>
                <c:pt idx="3">
                  <c:v>2340</c:v>
                </c:pt>
                <c:pt idx="4">
                  <c:v>2808</c:v>
                </c:pt>
                <c:pt idx="5">
                  <c:v>3166.5</c:v>
                </c:pt>
                <c:pt idx="6">
                  <c:v>3757</c:v>
                </c:pt>
                <c:pt idx="7">
                  <c:v>2954.5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72-455C-A512-8D3DBCF07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0027696"/>
        <c:axId val="1720019536"/>
      </c:barChart>
      <c:catAx>
        <c:axId val="172002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19536"/>
        <c:crosses val="autoZero"/>
        <c:auto val="1"/>
        <c:lblAlgn val="ctr"/>
        <c:lblOffset val="100"/>
        <c:noMultiLvlLbl val="0"/>
      </c:catAx>
      <c:valAx>
        <c:axId val="172001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02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storesales.xlsx]Location wise sales!PivotTable9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Lcation</a:t>
            </a:r>
            <a:r>
              <a:rPr lang="en-US" baseline="0"/>
              <a:t> wise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'Location wise sales'!$B$3:$B$4</c:f>
              <c:strCache>
                <c:ptCount val="1"/>
                <c:pt idx="0">
                  <c:v>Cash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sales'!$B$5:$B$7</c:f>
              <c:numCache>
                <c:formatCode>General</c:formatCode>
                <c:ptCount val="2"/>
                <c:pt idx="0">
                  <c:v>8124.5</c:v>
                </c:pt>
                <c:pt idx="1">
                  <c:v>12086.5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F-43B4-B799-86085E302F94}"/>
            </c:ext>
          </c:extLst>
        </c:ser>
        <c:ser>
          <c:idx val="1"/>
          <c:order val="1"/>
          <c:tx>
            <c:strRef>
              <c:f>'Location wise sales'!$C$3:$C$4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sales'!$C$5:$C$7</c:f>
              <c:numCache>
                <c:formatCode>General</c:formatCode>
                <c:ptCount val="2"/>
                <c:pt idx="0">
                  <c:v>10218</c:v>
                </c:pt>
                <c:pt idx="1">
                  <c:v>10241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F-43B4-B799-86085E302F94}"/>
            </c:ext>
          </c:extLst>
        </c:ser>
        <c:ser>
          <c:idx val="2"/>
          <c:order val="2"/>
          <c:tx>
            <c:strRef>
              <c:f>'Location wise sales'!$D$3:$D$4</c:f>
              <c:strCache>
                <c:ptCount val="1"/>
                <c:pt idx="0">
                  <c:v>Digital Wallet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'Location wise sales'!$A$5:$A$7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sales'!$D$5:$D$7</c:f>
              <c:numCache>
                <c:formatCode>General</c:formatCode>
                <c:ptCount val="2"/>
                <c:pt idx="0">
                  <c:v>11448</c:v>
                </c:pt>
                <c:pt idx="1">
                  <c:v>10318.5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F-43B4-B799-86085E302F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79724656"/>
        <c:axId val="1279728976"/>
        <c:axId val="0"/>
      </c:bar3DChart>
      <c:catAx>
        <c:axId val="127972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8976"/>
        <c:crosses val="autoZero"/>
        <c:auto val="1"/>
        <c:lblAlgn val="ctr"/>
        <c:lblOffset val="100"/>
        <c:noMultiLvlLbl val="0"/>
      </c:catAx>
      <c:valAx>
        <c:axId val="12797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2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storesales.xlsx]Location wise total amount!PivotTable11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</a:t>
            </a:r>
            <a:r>
              <a:rPr lang="en-US" baseline="0"/>
              <a:t> wise sales Total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'Location wise total amount'!$B$3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2B-458D-9848-A01E5B4C39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2B-458D-9848-A01E5B4C39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'Location wise total amount'!$A$4:$A$6</c:f>
              <c:strCache>
                <c:ptCount val="2"/>
                <c:pt idx="0">
                  <c:v>In-store</c:v>
                </c:pt>
                <c:pt idx="1">
                  <c:v>Online</c:v>
                </c:pt>
              </c:strCache>
            </c:strRef>
          </c:cat>
          <c:val>
            <c:numRef>
              <c:f>'Location wise total amount'!$B$4:$B$6</c:f>
              <c:numCache>
                <c:formatCode>General</c:formatCode>
                <c:ptCount val="2"/>
                <c:pt idx="0">
                  <c:v>29790.5</c:v>
                </c:pt>
                <c:pt idx="1">
                  <c:v>32646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2B-458D-9848-A01E5B4C3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storesales.xlsx]Payment method sales!PivotTable13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'Payment method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96-4BC3-8A6C-C3E539F406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96-4BC3-8A6C-C3E539F406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96-4BC3-8A6C-C3E539F406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 sales'!$A$4:$A$7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'Payment method sales'!$B$4:$B$7</c:f>
              <c:numCache>
                <c:formatCode>General</c:formatCode>
                <c:ptCount val="3"/>
                <c:pt idx="0">
                  <c:v>20211</c:v>
                </c:pt>
                <c:pt idx="1">
                  <c:v>20459</c:v>
                </c:pt>
                <c:pt idx="2">
                  <c:v>21766.5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96-4BC3-8A6C-C3E539F40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1</xdr:row>
      <xdr:rowOff>3175</xdr:rowOff>
    </xdr:from>
    <xdr:to>
      <xdr:col>12</xdr:col>
      <xdr:colOff>444500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A0D2F-5D26-B95E-14AE-60B04DF4C8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0</xdr:row>
      <xdr:rowOff>142875</xdr:rowOff>
    </xdr:from>
    <xdr:to>
      <xdr:col>12</xdr:col>
      <xdr:colOff>381000</xdr:colOff>
      <xdr:row>15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7A3043-459C-57B6-C1ED-04D7D72DE8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260350</xdr:colOff>
      <xdr:row>0</xdr:row>
      <xdr:rowOff>98425</xdr:rowOff>
    </xdr:from>
    <xdr:to>
      <xdr:col>9</xdr:col>
      <xdr:colOff>565150</xdr:colOff>
      <xdr:row>15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DBC97-C08C-9BB9-4DB1-ECA047694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</xdr:row>
      <xdr:rowOff>174625</xdr:rowOff>
    </xdr:from>
    <xdr:to>
      <xdr:col>10</xdr:col>
      <xdr:colOff>9525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198C14-33EF-42EB-BAC8-95E622C7F5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387350</xdr:colOff>
      <xdr:row>1</xdr:row>
      <xdr:rowOff>25400</xdr:rowOff>
    </xdr:from>
    <xdr:to>
      <xdr:col>10</xdr:col>
      <xdr:colOff>82550</xdr:colOff>
      <xdr:row>16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F32347-4CD3-C5B6-8AB6-AC0343898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546100</xdr:colOff>
      <xdr:row>0</xdr:row>
      <xdr:rowOff>558800</xdr:rowOff>
    </xdr:from>
    <xdr:to>
      <xdr:col>10</xdr:col>
      <xdr:colOff>241300</xdr:colOff>
      <xdr:row>12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28E1BF-3E3B-4E9A-8469-3C8F17D18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260350</xdr:colOff>
      <xdr:row>0</xdr:row>
      <xdr:rowOff>571500</xdr:rowOff>
    </xdr:from>
    <xdr:to>
      <xdr:col>17</xdr:col>
      <xdr:colOff>565150</xdr:colOff>
      <xdr:row>12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214334-A89A-4305-AED2-F091810D2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565150</xdr:colOff>
      <xdr:row>12</xdr:row>
      <xdr:rowOff>107950</xdr:rowOff>
    </xdr:from>
    <xdr:to>
      <xdr:col>10</xdr:col>
      <xdr:colOff>260350</xdr:colOff>
      <xdr:row>24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26DD7C-AE94-4108-830E-6245A2D9B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266700</xdr:colOff>
      <xdr:row>12</xdr:row>
      <xdr:rowOff>120650</xdr:rowOff>
    </xdr:from>
    <xdr:to>
      <xdr:col>17</xdr:col>
      <xdr:colOff>571500</xdr:colOff>
      <xdr:row>24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8A8EF7-E7E4-46F2-90C7-1260B694C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kanya Govindarajan" refreshedDate="46191.56947962963" createdVersion="8" refreshedVersion="8" minRefreshableVersion="3" recordCount="500" xr:uid="{5C7313F9-488C-4572-ADEE-41603027063F}">
  <cacheSource type="worksheet">
    <worksheetSource name="Table1"/>
  </cacheSource>
  <cacheFields count="11">
    <cacheField name="Transaction ID" numFmtId="0">
      <sharedItems/>
    </cacheField>
    <cacheField name="Customer ID" numFmtId="0">
      <sharedItems/>
    </cacheField>
    <cacheField name="Category" numFmtId="0">
      <sharedItems count="8">
        <s v="Patisserie"/>
        <s v="Milk Products"/>
        <s v="Butchers"/>
        <s v="Beverages"/>
        <s v="Food"/>
        <s v="Furniture"/>
        <s v="Electric household essentials"/>
        <s v="Computers and electric accessories"/>
      </sharedItems>
    </cacheField>
    <cacheField name="Item" numFmtId="0">
      <sharedItems/>
    </cacheField>
    <cacheField name="Price Per Unit" numFmtId="0">
      <sharedItems containsSemiMixedTypes="0" containsString="0" containsNumber="1" minValue="5" maxValue="41"/>
    </cacheField>
    <cacheField name="Quantity" numFmtId="0">
      <sharedItems containsSemiMixedTypes="0" containsString="0" containsNumber="1" containsInteger="1" minValue="1" maxValue="10"/>
    </cacheField>
    <cacheField name="Total Spent" numFmtId="0">
      <sharedItems containsSemiMixedTypes="0" containsString="0" containsNumber="1" minValue="5" maxValue="410"/>
    </cacheField>
    <cacheField name="Payment Method" numFmtId="0">
      <sharedItems count="3">
        <s v="Digital Wallet"/>
        <s v="Credit Card"/>
        <s v="Cash"/>
      </sharedItems>
    </cacheField>
    <cacheField name="Location" numFmtId="0">
      <sharedItems count="2">
        <s v="Online"/>
        <s v="In-store"/>
      </sharedItems>
    </cacheField>
    <cacheField name="Transaction Date" numFmtId="14">
      <sharedItems containsSemiMixedTypes="0" containsNonDate="0" containsDate="1" containsString="0" minDate="2022-01-03T00:00:00" maxDate="2025-01-14T00:00:00"/>
    </cacheField>
    <cacheField name="Discount Applied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TXN_6867343"/>
    <s v="CUST_09"/>
    <x v="0"/>
    <s v="Item_10_PAT"/>
    <n v="18.5"/>
    <n v="10"/>
    <n v="185"/>
    <x v="0"/>
    <x v="0"/>
    <d v="2024-04-08T00:00:00"/>
    <x v="0"/>
  </r>
  <r>
    <s v="TXN_3731986"/>
    <s v="CUST_22"/>
    <x v="1"/>
    <s v="Item_17_MILK"/>
    <n v="29"/>
    <n v="9"/>
    <n v="261"/>
    <x v="0"/>
    <x v="0"/>
    <d v="2023-07-23T00:00:00"/>
    <x v="0"/>
  </r>
  <r>
    <s v="TXN_9303719"/>
    <s v="CUST_02"/>
    <x v="2"/>
    <s v="Item_12_BUT"/>
    <n v="21.5"/>
    <n v="2"/>
    <n v="43"/>
    <x v="1"/>
    <x v="0"/>
    <d v="2022-10-05T00:00:00"/>
    <x v="1"/>
  </r>
  <r>
    <s v="TXN_9458126"/>
    <s v="CUST_06"/>
    <x v="3"/>
    <s v="Item_16_BEV"/>
    <n v="27.5"/>
    <n v="9"/>
    <n v="247.5"/>
    <x v="1"/>
    <x v="0"/>
    <d v="2022-05-07T00:00:00"/>
    <x v="0"/>
  </r>
  <r>
    <s v="TXN_4575373"/>
    <s v="CUST_05"/>
    <x v="4"/>
    <s v="Item_6_FOOD"/>
    <n v="12.5"/>
    <n v="7"/>
    <n v="87.5"/>
    <x v="0"/>
    <x v="0"/>
    <d v="2022-10-02T00:00:00"/>
    <x v="1"/>
  </r>
  <r>
    <s v="TXN_7482416"/>
    <s v="CUST_09"/>
    <x v="0"/>
    <s v="Item_10_PAT"/>
    <n v="20"/>
    <n v="10"/>
    <n v="200"/>
    <x v="1"/>
    <x v="0"/>
    <d v="2023-11-30T00:00:00"/>
    <x v="0"/>
  </r>
  <r>
    <s v="TXN_3652209"/>
    <s v="CUST_07"/>
    <x v="4"/>
    <s v="Item_1_FOOD"/>
    <n v="5"/>
    <n v="8"/>
    <n v="40"/>
    <x v="1"/>
    <x v="1"/>
    <d v="2023-06-10T00:00:00"/>
    <x v="0"/>
  </r>
  <r>
    <s v="TXN_1372952"/>
    <s v="CUST_21"/>
    <x v="5"/>
    <s v="Item_20_FUR"/>
    <n v="33.5"/>
    <n v="1"/>
    <n v="33.5"/>
    <x v="0"/>
    <x v="1"/>
    <d v="2024-04-02T00:00:00"/>
    <x v="0"/>
  </r>
  <r>
    <s v="TXN_9728486"/>
    <s v="CUST_23"/>
    <x v="5"/>
    <s v="Item_16_FUR"/>
    <n v="27.5"/>
    <n v="1"/>
    <n v="27.5"/>
    <x v="1"/>
    <x v="1"/>
    <d v="2023-04-26T00:00:00"/>
    <x v="1"/>
  </r>
  <r>
    <s v="TXN_2722661"/>
    <s v="CUST_25"/>
    <x v="2"/>
    <s v="Item_22_BUT"/>
    <n v="36.5"/>
    <n v="3"/>
    <n v="109.5"/>
    <x v="2"/>
    <x v="0"/>
    <d v="2024-03-14T00:00:00"/>
    <x v="1"/>
  </r>
  <r>
    <s v="TXN_8776416"/>
    <s v="CUST_22"/>
    <x v="2"/>
    <s v="Item_3_BUT"/>
    <n v="8"/>
    <n v="9"/>
    <n v="72"/>
    <x v="2"/>
    <x v="1"/>
    <d v="2024-12-14T00:00:00"/>
    <x v="0"/>
  </r>
  <r>
    <s v="TXN_5422631"/>
    <s v="CUST_09"/>
    <x v="1"/>
    <s v="Item_17_MILK"/>
    <n v="6.5"/>
    <n v="8"/>
    <n v="52"/>
    <x v="0"/>
    <x v="1"/>
    <d v="2025-01-12T00:00:00"/>
    <x v="0"/>
  </r>
  <r>
    <s v="TXN_5874772"/>
    <s v="CUST_23"/>
    <x v="4"/>
    <s v="Item_2_FOOD"/>
    <n v="6.5"/>
    <n v="7"/>
    <n v="45.5"/>
    <x v="2"/>
    <x v="0"/>
    <d v="2023-09-09T00:00:00"/>
    <x v="0"/>
  </r>
  <r>
    <s v="TXN_4413070"/>
    <s v="CUST_14"/>
    <x v="0"/>
    <s v="Item_24_PAT"/>
    <n v="39.5"/>
    <n v="6"/>
    <n v="237"/>
    <x v="0"/>
    <x v="1"/>
    <d v="2022-05-20T00:00:00"/>
    <x v="1"/>
  </r>
  <r>
    <s v="TXN_2490363"/>
    <s v="CUST_09"/>
    <x v="1"/>
    <s v="Item_16_MILK"/>
    <n v="27.5"/>
    <n v="2"/>
    <n v="55"/>
    <x v="0"/>
    <x v="0"/>
    <d v="2022-05-22T00:00:00"/>
    <x v="0"/>
  </r>
  <r>
    <s v="TXN_1809665"/>
    <s v="CUST_14"/>
    <x v="3"/>
    <s v="Item_14_BEV"/>
    <n v="24.5"/>
    <n v="1"/>
    <n v="24.5"/>
    <x v="1"/>
    <x v="1"/>
    <d v="2022-05-11T00:00:00"/>
    <x v="0"/>
  </r>
  <r>
    <s v="TXN_7563311"/>
    <s v="CUST_23"/>
    <x v="0"/>
    <s v="Item_17_PAT"/>
    <n v="29"/>
    <n v="8"/>
    <n v="232"/>
    <x v="2"/>
    <x v="0"/>
    <d v="2024-11-16T00:00:00"/>
    <x v="0"/>
  </r>
  <r>
    <s v="TXN_9634894"/>
    <s v="CUST_15"/>
    <x v="1"/>
    <s v="Item_19_MILK"/>
    <n v="27.5"/>
    <n v="10"/>
    <n v="275"/>
    <x v="0"/>
    <x v="0"/>
    <d v="2022-04-17T00:00:00"/>
    <x v="0"/>
  </r>
  <r>
    <s v="TXN_4396807"/>
    <s v="CUST_17"/>
    <x v="6"/>
    <s v="Item_13_EHE"/>
    <n v="23"/>
    <n v="1"/>
    <n v="23"/>
    <x v="0"/>
    <x v="1"/>
    <d v="2022-02-07T00:00:00"/>
    <x v="1"/>
  </r>
  <r>
    <s v="TXN_4206593"/>
    <s v="CUST_01"/>
    <x v="5"/>
    <s v="Item_21_FUR"/>
    <n v="35"/>
    <n v="1"/>
    <n v="35"/>
    <x v="0"/>
    <x v="0"/>
    <d v="2025-01-13T00:00:00"/>
    <x v="1"/>
  </r>
  <r>
    <s v="TXN_9939063"/>
    <s v="CUST_14"/>
    <x v="3"/>
    <s v="Item_7_BEV"/>
    <n v="14"/>
    <n v="9"/>
    <n v="126"/>
    <x v="0"/>
    <x v="1"/>
    <d v="2024-01-14T00:00:00"/>
    <x v="0"/>
  </r>
  <r>
    <s v="TXN_8685338"/>
    <s v="CUST_15"/>
    <x v="1"/>
    <s v="Item_19_MILK"/>
    <n v="35"/>
    <n v="3"/>
    <n v="105"/>
    <x v="1"/>
    <x v="1"/>
    <d v="2023-10-29T00:00:00"/>
    <x v="0"/>
  </r>
  <r>
    <s v="TXN_6547964"/>
    <s v="CUST_10"/>
    <x v="6"/>
    <s v="Item_4_EHE"/>
    <n v="9.5"/>
    <n v="7"/>
    <n v="66.5"/>
    <x v="2"/>
    <x v="1"/>
    <d v="2022-08-15T00:00:00"/>
    <x v="0"/>
  </r>
  <r>
    <s v="TXN_3314099"/>
    <s v="CUST_04"/>
    <x v="4"/>
    <s v="Item_10_FOOD"/>
    <n v="18.5"/>
    <n v="1"/>
    <n v="18.5"/>
    <x v="2"/>
    <x v="0"/>
    <d v="2023-09-30T00:00:00"/>
    <x v="1"/>
  </r>
  <r>
    <s v="TXN_9980736"/>
    <s v="CUST_13"/>
    <x v="5"/>
    <s v="Item_14_FUR"/>
    <n v="24.5"/>
    <n v="2"/>
    <n v="49"/>
    <x v="2"/>
    <x v="0"/>
    <d v="2023-08-29T00:00:00"/>
    <x v="1"/>
  </r>
  <r>
    <s v="TXN_3481599"/>
    <s v="CUST_05"/>
    <x v="5"/>
    <s v="Item_24_FUR"/>
    <n v="39.5"/>
    <n v="1"/>
    <n v="39.5"/>
    <x v="2"/>
    <x v="0"/>
    <d v="2022-09-08T00:00:00"/>
    <x v="1"/>
  </r>
  <r>
    <s v="TXN_9057609"/>
    <s v="CUST_18"/>
    <x v="2"/>
    <s v="Item_20_BUT"/>
    <n v="33.5"/>
    <n v="4"/>
    <n v="134"/>
    <x v="1"/>
    <x v="1"/>
    <d v="2022-03-16T00:00:00"/>
    <x v="0"/>
  </r>
  <r>
    <s v="TXN_1599706"/>
    <s v="CUST_14"/>
    <x v="5"/>
    <s v="Item_25_FUR"/>
    <n v="41"/>
    <n v="10"/>
    <n v="410"/>
    <x v="1"/>
    <x v="1"/>
    <d v="2024-03-24T00:00:00"/>
    <x v="0"/>
  </r>
  <r>
    <s v="TXN_1598860"/>
    <s v="CUST_08"/>
    <x v="4"/>
    <s v="Item_14_FOOD"/>
    <n v="24.5"/>
    <n v="10"/>
    <n v="245"/>
    <x v="2"/>
    <x v="1"/>
    <d v="2022-10-23T00:00:00"/>
    <x v="0"/>
  </r>
  <r>
    <s v="TXN_7138501"/>
    <s v="CUST_18"/>
    <x v="0"/>
    <s v="Item_22_PAT"/>
    <n v="36.5"/>
    <n v="5"/>
    <n v="182.5"/>
    <x v="1"/>
    <x v="1"/>
    <d v="2022-03-10T00:00:00"/>
    <x v="1"/>
  </r>
  <r>
    <s v="TXN_5444504"/>
    <s v="CUST_05"/>
    <x v="4"/>
    <s v="Item_11_FOOD"/>
    <n v="20"/>
    <n v="10"/>
    <n v="200"/>
    <x v="0"/>
    <x v="0"/>
    <d v="2022-04-26T00:00:00"/>
    <x v="1"/>
  </r>
  <r>
    <s v="TXN_4353295"/>
    <s v="CUST_22"/>
    <x v="0"/>
    <s v="Item_6_PAT"/>
    <n v="12.5"/>
    <n v="8"/>
    <n v="100"/>
    <x v="1"/>
    <x v="0"/>
    <d v="2022-04-05T00:00:00"/>
    <x v="0"/>
  </r>
  <r>
    <s v="TXN_1543244"/>
    <s v="CUST_20"/>
    <x v="4"/>
    <s v="Item_11_FOOD"/>
    <n v="24.5"/>
    <n v="8"/>
    <n v="196"/>
    <x v="1"/>
    <x v="0"/>
    <d v="2024-10-25T00:00:00"/>
    <x v="0"/>
  </r>
  <r>
    <s v="TXN_1494700"/>
    <s v="CUST_12"/>
    <x v="6"/>
    <s v="Item_21_EHE"/>
    <n v="35"/>
    <n v="9"/>
    <n v="315"/>
    <x v="1"/>
    <x v="1"/>
    <d v="2024-03-07T00:00:00"/>
    <x v="0"/>
  </r>
  <r>
    <s v="TXN_1621497"/>
    <s v="CUST_06"/>
    <x v="0"/>
    <s v="Item_6_PAT"/>
    <n v="23"/>
    <n v="1"/>
    <n v="23"/>
    <x v="2"/>
    <x v="1"/>
    <d v="2023-02-18T00:00:00"/>
    <x v="0"/>
  </r>
  <r>
    <s v="TXN_6398436"/>
    <s v="CUST_15"/>
    <x v="3"/>
    <s v="Item_25_BEV"/>
    <n v="41"/>
    <n v="7"/>
    <n v="287"/>
    <x v="1"/>
    <x v="1"/>
    <d v="2024-06-03T00:00:00"/>
    <x v="0"/>
  </r>
  <r>
    <s v="TXN_9065245"/>
    <s v="CUST_02"/>
    <x v="4"/>
    <s v="Item_23_FOOD"/>
    <n v="38"/>
    <n v="2"/>
    <n v="76"/>
    <x v="0"/>
    <x v="1"/>
    <d v="2024-03-10T00:00:00"/>
    <x v="1"/>
  </r>
  <r>
    <s v="TXN_6963438"/>
    <s v="CUST_11"/>
    <x v="5"/>
    <s v="Item_10_FUR"/>
    <n v="18.5"/>
    <n v="5"/>
    <n v="92.5"/>
    <x v="1"/>
    <x v="0"/>
    <d v="2024-04-23T00:00:00"/>
    <x v="0"/>
  </r>
  <r>
    <s v="TXN_8312797"/>
    <s v="CUST_14"/>
    <x v="3"/>
    <s v="Item_11_BEV"/>
    <n v="20"/>
    <n v="5"/>
    <n v="100"/>
    <x v="0"/>
    <x v="0"/>
    <d v="2022-06-03T00:00:00"/>
    <x v="0"/>
  </r>
  <r>
    <s v="TXN_5836005"/>
    <s v="CUST_19"/>
    <x v="2"/>
    <s v="Item_23_BUT"/>
    <n v="38"/>
    <n v="5"/>
    <n v="190"/>
    <x v="1"/>
    <x v="1"/>
    <d v="2024-10-19T00:00:00"/>
    <x v="1"/>
  </r>
  <r>
    <s v="TXN_4223250"/>
    <s v="CUST_16"/>
    <x v="3"/>
    <s v="Item_22_BEV"/>
    <n v="36.5"/>
    <n v="7"/>
    <n v="255.5"/>
    <x v="2"/>
    <x v="0"/>
    <d v="2023-05-31T00:00:00"/>
    <x v="0"/>
  </r>
  <r>
    <s v="TXN_1019817"/>
    <s v="CUST_16"/>
    <x v="6"/>
    <s v="Item_10_EHE"/>
    <n v="18.5"/>
    <n v="5"/>
    <n v="92.5"/>
    <x v="2"/>
    <x v="0"/>
    <d v="2022-08-01T00:00:00"/>
    <x v="0"/>
  </r>
  <r>
    <s v="TXN_1110407"/>
    <s v="CUST_25"/>
    <x v="2"/>
    <s v="Item_24_BUT"/>
    <n v="39.5"/>
    <n v="7"/>
    <n v="276.5"/>
    <x v="0"/>
    <x v="1"/>
    <d v="2022-10-21T00:00:00"/>
    <x v="0"/>
  </r>
  <r>
    <s v="TXN_6276518"/>
    <s v="CUST_24"/>
    <x v="3"/>
    <s v="Item_8_BEV"/>
    <n v="15.5"/>
    <n v="3"/>
    <n v="46.5"/>
    <x v="2"/>
    <x v="1"/>
    <d v="2024-04-08T00:00:00"/>
    <x v="1"/>
  </r>
  <r>
    <s v="TXN_4740738"/>
    <s v="CUST_25"/>
    <x v="4"/>
    <s v="Item_3_FOOD"/>
    <n v="8"/>
    <n v="1"/>
    <n v="8"/>
    <x v="0"/>
    <x v="1"/>
    <d v="2022-04-19T00:00:00"/>
    <x v="1"/>
  </r>
  <r>
    <s v="TXN_9587232"/>
    <s v="CUST_20"/>
    <x v="4"/>
    <s v="Item_12_FOOD"/>
    <n v="21.5"/>
    <n v="5"/>
    <n v="107.5"/>
    <x v="0"/>
    <x v="0"/>
    <d v="2023-02-28T00:00:00"/>
    <x v="0"/>
  </r>
  <r>
    <s v="TXN_6404316"/>
    <s v="CUST_04"/>
    <x v="7"/>
    <s v="Item_16_CEA"/>
    <n v="27.5"/>
    <n v="6"/>
    <n v="165"/>
    <x v="1"/>
    <x v="0"/>
    <d v="2022-04-06T00:00:00"/>
    <x v="1"/>
  </r>
  <r>
    <s v="TXN_9331642"/>
    <s v="CUST_12"/>
    <x v="0"/>
    <s v="Item_11_PAT"/>
    <n v="20"/>
    <n v="4"/>
    <n v="80"/>
    <x v="1"/>
    <x v="0"/>
    <d v="2022-07-06T00:00:00"/>
    <x v="0"/>
  </r>
  <r>
    <s v="TXN_9729422"/>
    <s v="CUST_13"/>
    <x v="2"/>
    <s v="Item_16_BUT"/>
    <n v="27.5"/>
    <n v="6"/>
    <n v="165"/>
    <x v="1"/>
    <x v="0"/>
    <d v="2024-12-31T00:00:00"/>
    <x v="0"/>
  </r>
  <r>
    <s v="TXN_8425168"/>
    <s v="CUST_25"/>
    <x v="1"/>
    <s v="Item_16_MILK"/>
    <n v="27.5"/>
    <n v="7"/>
    <n v="192.5"/>
    <x v="2"/>
    <x v="1"/>
    <d v="2022-03-12T00:00:00"/>
    <x v="1"/>
  </r>
  <r>
    <s v="TXN_5379241"/>
    <s v="CUST_05"/>
    <x v="2"/>
    <s v="Item_20_BUT"/>
    <n v="33.5"/>
    <n v="10"/>
    <n v="335"/>
    <x v="1"/>
    <x v="1"/>
    <d v="2023-04-12T00:00:00"/>
    <x v="1"/>
  </r>
  <r>
    <s v="TXN_8413369"/>
    <s v="CUST_23"/>
    <x v="7"/>
    <s v="Item_5_CEA"/>
    <n v="11"/>
    <n v="6"/>
    <n v="66"/>
    <x v="1"/>
    <x v="0"/>
    <d v="2024-03-09T00:00:00"/>
    <x v="0"/>
  </r>
  <r>
    <s v="TXN_4836321"/>
    <s v="CUST_21"/>
    <x v="4"/>
    <s v="Item_12_FOOD"/>
    <n v="21.5"/>
    <n v="10"/>
    <n v="215"/>
    <x v="0"/>
    <x v="1"/>
    <d v="2023-01-14T00:00:00"/>
    <x v="1"/>
  </r>
  <r>
    <s v="TXN_9451794"/>
    <s v="CUST_24"/>
    <x v="1"/>
    <s v="Item_19_MILK"/>
    <n v="32"/>
    <n v="3"/>
    <n v="96"/>
    <x v="1"/>
    <x v="0"/>
    <d v="2024-01-28T00:00:00"/>
    <x v="1"/>
  </r>
  <r>
    <s v="TXN_8218431"/>
    <s v="CUST_01"/>
    <x v="5"/>
    <s v="Item_23_FUR"/>
    <n v="38"/>
    <n v="5"/>
    <n v="190"/>
    <x v="0"/>
    <x v="0"/>
    <d v="2023-04-29T00:00:00"/>
    <x v="1"/>
  </r>
  <r>
    <s v="TXN_2383377"/>
    <s v="CUST_15"/>
    <x v="5"/>
    <s v="Item_7_FUR"/>
    <n v="14"/>
    <n v="3"/>
    <n v="42"/>
    <x v="0"/>
    <x v="1"/>
    <d v="2023-04-02T00:00:00"/>
    <x v="1"/>
  </r>
  <r>
    <s v="TXN_7909783"/>
    <s v="CUST_12"/>
    <x v="7"/>
    <s v="Item_5_CEA"/>
    <n v="11"/>
    <n v="1"/>
    <n v="11"/>
    <x v="1"/>
    <x v="0"/>
    <d v="2023-12-17T00:00:00"/>
    <x v="0"/>
  </r>
  <r>
    <s v="TXN_5046007"/>
    <s v="CUST_07"/>
    <x v="7"/>
    <s v="Item_15_CEA"/>
    <n v="26"/>
    <n v="9"/>
    <n v="234"/>
    <x v="2"/>
    <x v="0"/>
    <d v="2024-07-22T00:00:00"/>
    <x v="0"/>
  </r>
  <r>
    <s v="TXN_6966182"/>
    <s v="CUST_02"/>
    <x v="5"/>
    <s v="Item_16_FUR"/>
    <n v="27.5"/>
    <n v="9"/>
    <n v="247.5"/>
    <x v="2"/>
    <x v="0"/>
    <d v="2024-09-06T00:00:00"/>
    <x v="1"/>
  </r>
  <r>
    <s v="TXN_3424571"/>
    <s v="CUST_09"/>
    <x v="1"/>
    <s v="Item_6_MILK"/>
    <n v="12.5"/>
    <n v="7"/>
    <n v="87.5"/>
    <x v="1"/>
    <x v="0"/>
    <d v="2023-01-13T00:00:00"/>
    <x v="1"/>
  </r>
  <r>
    <s v="TXN_6820452"/>
    <s v="CUST_10"/>
    <x v="7"/>
    <s v="Item_24_CEA"/>
    <n v="39.5"/>
    <n v="8"/>
    <n v="316"/>
    <x v="1"/>
    <x v="1"/>
    <d v="2023-04-18T00:00:00"/>
    <x v="1"/>
  </r>
  <r>
    <s v="TXN_1998771"/>
    <s v="CUST_25"/>
    <x v="1"/>
    <s v="Item_16_MILK"/>
    <n v="27.5"/>
    <n v="3"/>
    <n v="82.5"/>
    <x v="0"/>
    <x v="0"/>
    <d v="2024-11-07T00:00:00"/>
    <x v="0"/>
  </r>
  <r>
    <s v="TXN_1132097"/>
    <s v="CUST_24"/>
    <x v="0"/>
    <s v="Item_11_PAT"/>
    <n v="20"/>
    <n v="9"/>
    <n v="180"/>
    <x v="1"/>
    <x v="1"/>
    <d v="2023-05-18T00:00:00"/>
    <x v="0"/>
  </r>
  <r>
    <s v="TXN_5418871"/>
    <s v="CUST_04"/>
    <x v="7"/>
    <s v="Item_22_CEA"/>
    <n v="36.5"/>
    <n v="7"/>
    <n v="255.5"/>
    <x v="2"/>
    <x v="1"/>
    <d v="2022-03-16T00:00:00"/>
    <x v="1"/>
  </r>
  <r>
    <s v="TXN_6952276"/>
    <s v="CUST_01"/>
    <x v="4"/>
    <s v="Item_22_FOOD"/>
    <n v="36.5"/>
    <n v="10"/>
    <n v="365"/>
    <x v="1"/>
    <x v="0"/>
    <d v="2024-08-02T00:00:00"/>
    <x v="0"/>
  </r>
  <r>
    <s v="TXN_6340470"/>
    <s v="CUST_17"/>
    <x v="2"/>
    <s v="Item_2_BUT"/>
    <n v="6.5"/>
    <n v="6"/>
    <n v="39"/>
    <x v="1"/>
    <x v="1"/>
    <d v="2022-10-12T00:00:00"/>
    <x v="1"/>
  </r>
  <r>
    <s v="TXN_5885894"/>
    <s v="CUST_01"/>
    <x v="0"/>
    <s v="Item_14_PAT"/>
    <n v="24.5"/>
    <n v="10"/>
    <n v="245"/>
    <x v="1"/>
    <x v="1"/>
    <d v="2022-02-09T00:00:00"/>
    <x v="1"/>
  </r>
  <r>
    <s v="TXN_3671271"/>
    <s v="CUST_18"/>
    <x v="0"/>
    <s v="Item_12_PAT"/>
    <n v="21.5"/>
    <n v="8"/>
    <n v="172"/>
    <x v="2"/>
    <x v="1"/>
    <d v="2023-11-27T00:00:00"/>
    <x v="1"/>
  </r>
  <r>
    <s v="TXN_2719047"/>
    <s v="CUST_03"/>
    <x v="2"/>
    <s v="Item_20_BUT"/>
    <n v="33.5"/>
    <n v="4"/>
    <n v="134"/>
    <x v="1"/>
    <x v="0"/>
    <d v="2023-11-21T00:00:00"/>
    <x v="1"/>
  </r>
  <r>
    <s v="TXN_9908330"/>
    <s v="CUST_19"/>
    <x v="4"/>
    <s v="Item_18_FOOD"/>
    <n v="30.5"/>
    <n v="4"/>
    <n v="122"/>
    <x v="1"/>
    <x v="0"/>
    <d v="2022-09-29T00:00:00"/>
    <x v="0"/>
  </r>
  <r>
    <s v="TXN_2016332"/>
    <s v="CUST_17"/>
    <x v="0"/>
    <s v="Item_1_PAT"/>
    <n v="5"/>
    <n v="6"/>
    <n v="30"/>
    <x v="0"/>
    <x v="0"/>
    <d v="2022-12-17T00:00:00"/>
    <x v="0"/>
  </r>
  <r>
    <s v="TXN_7363165"/>
    <s v="CUST_25"/>
    <x v="3"/>
    <s v="Item_4_BEV"/>
    <n v="9.5"/>
    <n v="7"/>
    <n v="66.5"/>
    <x v="0"/>
    <x v="1"/>
    <d v="2023-03-25T00:00:00"/>
    <x v="1"/>
  </r>
  <r>
    <s v="TXN_1260450"/>
    <s v="CUST_25"/>
    <x v="5"/>
    <s v="Item_22_FUR"/>
    <n v="36.5"/>
    <n v="10"/>
    <n v="365"/>
    <x v="0"/>
    <x v="1"/>
    <d v="2023-12-24T00:00:00"/>
    <x v="0"/>
  </r>
  <r>
    <s v="TXN_6315447"/>
    <s v="CUST_21"/>
    <x v="0"/>
    <s v="Item_7_PAT"/>
    <n v="14"/>
    <n v="9"/>
    <n v="126"/>
    <x v="0"/>
    <x v="1"/>
    <d v="2025-01-12T00:00:00"/>
    <x v="1"/>
  </r>
  <r>
    <s v="TXN_5973228"/>
    <s v="CUST_12"/>
    <x v="3"/>
    <s v="Item_7_BEV"/>
    <n v="14"/>
    <n v="6"/>
    <n v="84"/>
    <x v="0"/>
    <x v="0"/>
    <d v="2023-12-25T00:00:00"/>
    <x v="0"/>
  </r>
  <r>
    <s v="TXN_2780662"/>
    <s v="CUST_02"/>
    <x v="1"/>
    <s v="Item_19_MILK"/>
    <n v="32"/>
    <n v="10"/>
    <n v="320"/>
    <x v="0"/>
    <x v="1"/>
    <d v="2023-01-19T00:00:00"/>
    <x v="1"/>
  </r>
  <r>
    <s v="TXN_1142481"/>
    <s v="CUST_02"/>
    <x v="3"/>
    <s v="Item_22_BEV"/>
    <n v="36.5"/>
    <n v="6"/>
    <n v="219"/>
    <x v="2"/>
    <x v="1"/>
    <d v="2023-02-07T00:00:00"/>
    <x v="0"/>
  </r>
  <r>
    <s v="TXN_3933685"/>
    <s v="CUST_09"/>
    <x v="7"/>
    <s v="Item_20_CEA"/>
    <n v="33.5"/>
    <n v="10"/>
    <n v="335"/>
    <x v="1"/>
    <x v="0"/>
    <d v="2022-04-15T00:00:00"/>
    <x v="1"/>
  </r>
  <r>
    <s v="TXN_8955685"/>
    <s v="CUST_24"/>
    <x v="4"/>
    <s v="Item_20_FOOD"/>
    <n v="33.5"/>
    <n v="2"/>
    <n v="67"/>
    <x v="0"/>
    <x v="0"/>
    <d v="2023-04-24T00:00:00"/>
    <x v="0"/>
  </r>
  <r>
    <s v="TXN_1061030"/>
    <s v="CUST_20"/>
    <x v="7"/>
    <s v="Item_22_CEA"/>
    <n v="36.5"/>
    <n v="4"/>
    <n v="146"/>
    <x v="0"/>
    <x v="0"/>
    <d v="2024-07-14T00:00:00"/>
    <x v="0"/>
  </r>
  <r>
    <s v="TXN_7821493"/>
    <s v="CUST_07"/>
    <x v="0"/>
    <s v="Item_17_PAT"/>
    <n v="29"/>
    <n v="10"/>
    <n v="290"/>
    <x v="1"/>
    <x v="1"/>
    <d v="2024-12-17T00:00:00"/>
    <x v="1"/>
  </r>
  <r>
    <s v="TXN_8114453"/>
    <s v="CUST_10"/>
    <x v="6"/>
    <s v="Item_21_EHE"/>
    <n v="35"/>
    <n v="2"/>
    <n v="70"/>
    <x v="0"/>
    <x v="1"/>
    <d v="2023-05-09T00:00:00"/>
    <x v="1"/>
  </r>
  <r>
    <s v="TXN_8024803"/>
    <s v="CUST_09"/>
    <x v="5"/>
    <s v="Item_11_FUR"/>
    <n v="20"/>
    <n v="8"/>
    <n v="160"/>
    <x v="0"/>
    <x v="1"/>
    <d v="2024-08-22T00:00:00"/>
    <x v="1"/>
  </r>
  <r>
    <s v="TXN_4532214"/>
    <s v="CUST_25"/>
    <x v="0"/>
    <s v="Item_17_PAT"/>
    <n v="15.5"/>
    <n v="1"/>
    <n v="15.5"/>
    <x v="1"/>
    <x v="1"/>
    <d v="2024-03-25T00:00:00"/>
    <x v="1"/>
  </r>
  <r>
    <s v="TXN_5062634"/>
    <s v="CUST_04"/>
    <x v="0"/>
    <s v="Item_25_PAT"/>
    <n v="41"/>
    <n v="2"/>
    <n v="82"/>
    <x v="1"/>
    <x v="0"/>
    <d v="2023-07-06T00:00:00"/>
    <x v="0"/>
  </r>
  <r>
    <s v="TXN_8244728"/>
    <s v="CUST_08"/>
    <x v="4"/>
    <s v="Item_7_FOOD"/>
    <n v="14"/>
    <n v="1"/>
    <n v="14"/>
    <x v="1"/>
    <x v="1"/>
    <d v="2024-04-27T00:00:00"/>
    <x v="0"/>
  </r>
  <r>
    <s v="TXN_3858145"/>
    <s v="CUST_17"/>
    <x v="5"/>
    <s v="Item_21_FUR"/>
    <n v="35"/>
    <n v="3"/>
    <n v="105"/>
    <x v="0"/>
    <x v="0"/>
    <d v="2023-04-01T00:00:00"/>
    <x v="1"/>
  </r>
  <r>
    <s v="TXN_2646301"/>
    <s v="CUST_18"/>
    <x v="5"/>
    <s v="Item_24_FUR"/>
    <n v="39.5"/>
    <n v="9"/>
    <n v="355.5"/>
    <x v="1"/>
    <x v="1"/>
    <d v="2022-12-07T00:00:00"/>
    <x v="1"/>
  </r>
  <r>
    <s v="TXN_2414530"/>
    <s v="CUST_24"/>
    <x v="1"/>
    <s v="Item_8_MILK"/>
    <n v="15.5"/>
    <n v="8"/>
    <n v="124"/>
    <x v="2"/>
    <x v="0"/>
    <d v="2024-06-20T00:00:00"/>
    <x v="1"/>
  </r>
  <r>
    <s v="TXN_8322008"/>
    <s v="CUST_22"/>
    <x v="4"/>
    <s v="Item_4_FOOD"/>
    <n v="9.5"/>
    <n v="3"/>
    <n v="28.5"/>
    <x v="2"/>
    <x v="1"/>
    <d v="2024-08-20T00:00:00"/>
    <x v="1"/>
  </r>
  <r>
    <s v="TXN_3035546"/>
    <s v="CUST_19"/>
    <x v="3"/>
    <s v="Item_14_BEV"/>
    <n v="24.5"/>
    <n v="2"/>
    <n v="49"/>
    <x v="1"/>
    <x v="1"/>
    <d v="2023-07-12T00:00:00"/>
    <x v="0"/>
  </r>
  <r>
    <s v="TXN_7296720"/>
    <s v="CUST_18"/>
    <x v="0"/>
    <s v="Item_4_PAT"/>
    <n v="9.5"/>
    <n v="5"/>
    <n v="47.5"/>
    <x v="2"/>
    <x v="0"/>
    <d v="2024-09-12T00:00:00"/>
    <x v="1"/>
  </r>
  <r>
    <s v="TXN_8414071"/>
    <s v="CUST_20"/>
    <x v="0"/>
    <s v="Item_12_PAT"/>
    <n v="21.5"/>
    <n v="9"/>
    <n v="193.5"/>
    <x v="2"/>
    <x v="1"/>
    <d v="2023-05-02T00:00:00"/>
    <x v="0"/>
  </r>
  <r>
    <s v="TXN_5705131"/>
    <s v="CUST_19"/>
    <x v="1"/>
    <s v="Item_4_MILK"/>
    <n v="9.5"/>
    <n v="4"/>
    <n v="38"/>
    <x v="0"/>
    <x v="0"/>
    <d v="2024-03-27T00:00:00"/>
    <x v="0"/>
  </r>
  <r>
    <s v="TXN_5938028"/>
    <s v="CUST_18"/>
    <x v="7"/>
    <s v="Item_7_CEA"/>
    <n v="14"/>
    <n v="1"/>
    <n v="14"/>
    <x v="0"/>
    <x v="0"/>
    <d v="2023-02-20T00:00:00"/>
    <x v="0"/>
  </r>
  <r>
    <s v="TXN_1958345"/>
    <s v="CUST_08"/>
    <x v="6"/>
    <s v="Item_4_EHE"/>
    <n v="9.5"/>
    <n v="8"/>
    <n v="76"/>
    <x v="2"/>
    <x v="1"/>
    <d v="2024-06-28T00:00:00"/>
    <x v="1"/>
  </r>
  <r>
    <s v="TXN_1528585"/>
    <s v="CUST_15"/>
    <x v="6"/>
    <s v="Item_6_EHE"/>
    <n v="12.5"/>
    <n v="1"/>
    <n v="12.5"/>
    <x v="1"/>
    <x v="1"/>
    <d v="2024-09-17T00:00:00"/>
    <x v="1"/>
  </r>
  <r>
    <s v="TXN_9619859"/>
    <s v="CUST_01"/>
    <x v="2"/>
    <s v="Item_21_BUT"/>
    <n v="35"/>
    <n v="4"/>
    <n v="140"/>
    <x v="2"/>
    <x v="1"/>
    <d v="2024-04-05T00:00:00"/>
    <x v="1"/>
  </r>
  <r>
    <s v="TXN_6158929"/>
    <s v="CUST_21"/>
    <x v="4"/>
    <s v="Item_11_FOOD"/>
    <n v="20"/>
    <n v="6"/>
    <n v="120"/>
    <x v="2"/>
    <x v="0"/>
    <d v="2022-01-29T00:00:00"/>
    <x v="0"/>
  </r>
  <r>
    <s v="TXN_7209607"/>
    <s v="CUST_25"/>
    <x v="4"/>
    <s v="Item_18_FOOD"/>
    <n v="30.5"/>
    <n v="6"/>
    <n v="183"/>
    <x v="1"/>
    <x v="1"/>
    <d v="2023-08-25T00:00:00"/>
    <x v="0"/>
  </r>
  <r>
    <s v="TXN_5328604"/>
    <s v="CUST_07"/>
    <x v="4"/>
    <s v="Item_20_FOOD"/>
    <n v="33.5"/>
    <n v="10"/>
    <n v="335"/>
    <x v="2"/>
    <x v="0"/>
    <d v="2024-07-08T00:00:00"/>
    <x v="1"/>
  </r>
  <r>
    <s v="TXN_4324641"/>
    <s v="CUST_01"/>
    <x v="0"/>
    <s v="Item_16_PAT"/>
    <n v="27.5"/>
    <n v="6"/>
    <n v="165"/>
    <x v="2"/>
    <x v="1"/>
    <d v="2023-11-07T00:00:00"/>
    <x v="1"/>
  </r>
  <r>
    <s v="TXN_9464391"/>
    <s v="CUST_04"/>
    <x v="4"/>
    <s v="Item_18_FOOD"/>
    <n v="30.5"/>
    <n v="10"/>
    <n v="305"/>
    <x v="2"/>
    <x v="0"/>
    <d v="2023-11-17T00:00:00"/>
    <x v="1"/>
  </r>
  <r>
    <s v="TXN_2940500"/>
    <s v="CUST_06"/>
    <x v="7"/>
    <s v="Item_25_CEA"/>
    <n v="41"/>
    <n v="1"/>
    <n v="41"/>
    <x v="2"/>
    <x v="1"/>
    <d v="2024-11-05T00:00:00"/>
    <x v="1"/>
  </r>
  <r>
    <s v="TXN_1945960"/>
    <s v="CUST_09"/>
    <x v="2"/>
    <s v="Item_8_BUT"/>
    <n v="15.5"/>
    <n v="10"/>
    <n v="155"/>
    <x v="0"/>
    <x v="1"/>
    <d v="2023-04-06T00:00:00"/>
    <x v="1"/>
  </r>
  <r>
    <s v="TXN_8219228"/>
    <s v="CUST_17"/>
    <x v="7"/>
    <s v="Item_10_CEA"/>
    <n v="18.5"/>
    <n v="5"/>
    <n v="92.5"/>
    <x v="2"/>
    <x v="0"/>
    <d v="2022-05-27T00:00:00"/>
    <x v="1"/>
  </r>
  <r>
    <s v="TXN_5471094"/>
    <s v="CUST_14"/>
    <x v="2"/>
    <s v="Item_2_BUT"/>
    <n v="6.5"/>
    <n v="3"/>
    <n v="19.5"/>
    <x v="0"/>
    <x v="1"/>
    <d v="2022-08-24T00:00:00"/>
    <x v="1"/>
  </r>
  <r>
    <s v="TXN_9255329"/>
    <s v="CUST_01"/>
    <x v="5"/>
    <s v="Item_25_FUR"/>
    <n v="41"/>
    <n v="7"/>
    <n v="287"/>
    <x v="0"/>
    <x v="1"/>
    <d v="2022-03-02T00:00:00"/>
    <x v="1"/>
  </r>
  <r>
    <s v="TXN_9279462"/>
    <s v="CUST_25"/>
    <x v="5"/>
    <s v="Item_5_FUR"/>
    <n v="11"/>
    <n v="3"/>
    <n v="33"/>
    <x v="1"/>
    <x v="1"/>
    <d v="2022-02-05T00:00:00"/>
    <x v="1"/>
  </r>
  <r>
    <s v="TXN_7956502"/>
    <s v="CUST_06"/>
    <x v="2"/>
    <s v="Item_8_BUT"/>
    <n v="15.5"/>
    <n v="7"/>
    <n v="108.5"/>
    <x v="1"/>
    <x v="1"/>
    <d v="2024-04-30T00:00:00"/>
    <x v="1"/>
  </r>
  <r>
    <s v="TXN_1352831"/>
    <s v="CUST_04"/>
    <x v="4"/>
    <s v="Item_22_FOOD"/>
    <n v="36.5"/>
    <n v="3"/>
    <n v="109.5"/>
    <x v="1"/>
    <x v="0"/>
    <d v="2023-10-31T00:00:00"/>
    <x v="1"/>
  </r>
  <r>
    <s v="TXN_4372655"/>
    <s v="CUST_08"/>
    <x v="4"/>
    <s v="Item_9_FOOD"/>
    <n v="17"/>
    <n v="7"/>
    <n v="119"/>
    <x v="2"/>
    <x v="1"/>
    <d v="2024-11-03T00:00:00"/>
    <x v="1"/>
  </r>
  <r>
    <s v="TXN_5419965"/>
    <s v="CUST_23"/>
    <x v="7"/>
    <s v="Item_11_CEA"/>
    <n v="20"/>
    <n v="1"/>
    <n v="20"/>
    <x v="0"/>
    <x v="0"/>
    <d v="2024-01-16T00:00:00"/>
    <x v="1"/>
  </r>
  <r>
    <s v="TXN_7655704"/>
    <s v="CUST_11"/>
    <x v="7"/>
    <s v="Item_21_CEA"/>
    <n v="35"/>
    <n v="8"/>
    <n v="280"/>
    <x v="0"/>
    <x v="0"/>
    <d v="2022-08-08T00:00:00"/>
    <x v="0"/>
  </r>
  <r>
    <s v="TXN_8210621"/>
    <s v="CUST_03"/>
    <x v="3"/>
    <s v="Item_24_BEV"/>
    <n v="39.5"/>
    <n v="1"/>
    <n v="39.5"/>
    <x v="0"/>
    <x v="0"/>
    <d v="2024-01-03T00:00:00"/>
    <x v="1"/>
  </r>
  <r>
    <s v="TXN_6908058"/>
    <s v="CUST_25"/>
    <x v="7"/>
    <s v="Item_8_CEA"/>
    <n v="15.5"/>
    <n v="10"/>
    <n v="155"/>
    <x v="2"/>
    <x v="1"/>
    <d v="2023-07-22T00:00:00"/>
    <x v="1"/>
  </r>
  <r>
    <s v="TXN_9204828"/>
    <s v="CUST_07"/>
    <x v="7"/>
    <s v="Item_25_CEA"/>
    <n v="41"/>
    <n v="7"/>
    <n v="287"/>
    <x v="2"/>
    <x v="0"/>
    <d v="2022-03-05T00:00:00"/>
    <x v="1"/>
  </r>
  <r>
    <s v="TXN_3208232"/>
    <s v="CUST_25"/>
    <x v="6"/>
    <s v="Item_8_EHE"/>
    <n v="15.5"/>
    <n v="4"/>
    <n v="62"/>
    <x v="0"/>
    <x v="1"/>
    <d v="2024-01-13T00:00:00"/>
    <x v="1"/>
  </r>
  <r>
    <s v="TXN_8586300"/>
    <s v="CUST_11"/>
    <x v="7"/>
    <s v="Item_16_CEA"/>
    <n v="27.5"/>
    <n v="1"/>
    <n v="27.5"/>
    <x v="1"/>
    <x v="0"/>
    <d v="2022-02-08T00:00:00"/>
    <x v="1"/>
  </r>
  <r>
    <s v="TXN_2212643"/>
    <s v="CUST_09"/>
    <x v="4"/>
    <s v="Item_3_FOOD"/>
    <n v="8"/>
    <n v="4"/>
    <n v="32"/>
    <x v="1"/>
    <x v="1"/>
    <d v="2022-12-29T00:00:00"/>
    <x v="1"/>
  </r>
  <r>
    <s v="TXN_8215469"/>
    <s v="CUST_17"/>
    <x v="1"/>
    <s v="Item_23_MILK"/>
    <n v="38"/>
    <n v="10"/>
    <n v="380"/>
    <x v="0"/>
    <x v="1"/>
    <d v="2024-03-16T00:00:00"/>
    <x v="1"/>
  </r>
  <r>
    <s v="TXN_3403695"/>
    <s v="CUST_25"/>
    <x v="3"/>
    <s v="Item_23_BEV"/>
    <n v="38"/>
    <n v="8"/>
    <n v="304"/>
    <x v="2"/>
    <x v="0"/>
    <d v="2024-09-27T00:00:00"/>
    <x v="0"/>
  </r>
  <r>
    <s v="TXN_2878134"/>
    <s v="CUST_18"/>
    <x v="2"/>
    <s v="Item_8_BUT"/>
    <n v="15.5"/>
    <n v="9"/>
    <n v="139.5"/>
    <x v="1"/>
    <x v="1"/>
    <d v="2024-05-10T00:00:00"/>
    <x v="1"/>
  </r>
  <r>
    <s v="TXN_3123571"/>
    <s v="CUST_15"/>
    <x v="5"/>
    <s v="Item_23_FUR"/>
    <n v="38"/>
    <n v="3"/>
    <n v="114"/>
    <x v="0"/>
    <x v="0"/>
    <d v="2022-08-07T00:00:00"/>
    <x v="1"/>
  </r>
  <r>
    <s v="TXN_9940030"/>
    <s v="CUST_25"/>
    <x v="3"/>
    <s v="Item_19_BEV"/>
    <n v="32"/>
    <n v="6"/>
    <n v="192"/>
    <x v="1"/>
    <x v="1"/>
    <d v="2022-01-19T00:00:00"/>
    <x v="0"/>
  </r>
  <r>
    <s v="TXN_6195024"/>
    <s v="CUST_13"/>
    <x v="3"/>
    <s v="Item_20_BEV"/>
    <n v="33.5"/>
    <n v="5"/>
    <n v="167.5"/>
    <x v="2"/>
    <x v="0"/>
    <d v="2024-08-09T00:00:00"/>
    <x v="1"/>
  </r>
  <r>
    <s v="TXN_5243520"/>
    <s v="CUST_13"/>
    <x v="0"/>
    <s v="Item_10_PAT"/>
    <n v="18.5"/>
    <n v="5"/>
    <n v="92.5"/>
    <x v="2"/>
    <x v="1"/>
    <d v="2024-05-16T00:00:00"/>
    <x v="1"/>
  </r>
  <r>
    <s v="TXN_4608122"/>
    <s v="CUST_21"/>
    <x v="2"/>
    <s v="Item_12_BUT"/>
    <n v="27.5"/>
    <n v="10"/>
    <n v="275"/>
    <x v="0"/>
    <x v="0"/>
    <d v="2022-10-01T00:00:00"/>
    <x v="1"/>
  </r>
  <r>
    <s v="TXN_6923419"/>
    <s v="CUST_17"/>
    <x v="5"/>
    <s v="Item_5_FUR"/>
    <n v="11"/>
    <n v="8"/>
    <n v="88"/>
    <x v="0"/>
    <x v="0"/>
    <d v="2022-06-28T00:00:00"/>
    <x v="1"/>
  </r>
  <r>
    <s v="TXN_1112365"/>
    <s v="CUST_19"/>
    <x v="4"/>
    <s v="Item_24_FOOD"/>
    <n v="39.5"/>
    <n v="10"/>
    <n v="395"/>
    <x v="2"/>
    <x v="0"/>
    <d v="2023-09-24T00:00:00"/>
    <x v="1"/>
  </r>
  <r>
    <s v="TXN_6989569"/>
    <s v="CUST_11"/>
    <x v="1"/>
    <s v="Item_21_MILK"/>
    <n v="35"/>
    <n v="2"/>
    <n v="70"/>
    <x v="1"/>
    <x v="1"/>
    <d v="2022-01-17T00:00:00"/>
    <x v="1"/>
  </r>
  <r>
    <s v="TXN_5647023"/>
    <s v="CUST_12"/>
    <x v="5"/>
    <s v="Item_24_FUR"/>
    <n v="39.5"/>
    <n v="4"/>
    <n v="158"/>
    <x v="0"/>
    <x v="1"/>
    <d v="2022-04-14T00:00:00"/>
    <x v="0"/>
  </r>
  <r>
    <s v="TXN_8049831"/>
    <s v="CUST_18"/>
    <x v="3"/>
    <s v="Item_6_BEV"/>
    <n v="12.5"/>
    <n v="2"/>
    <n v="25"/>
    <x v="2"/>
    <x v="1"/>
    <d v="2023-01-05T00:00:00"/>
    <x v="1"/>
  </r>
  <r>
    <s v="TXN_2953434"/>
    <s v="CUST_25"/>
    <x v="5"/>
    <s v="Item_25_FUR"/>
    <n v="41"/>
    <n v="10"/>
    <n v="410"/>
    <x v="1"/>
    <x v="1"/>
    <d v="2023-08-10T00:00:00"/>
    <x v="1"/>
  </r>
  <r>
    <s v="TXN_3831408"/>
    <s v="CUST_18"/>
    <x v="1"/>
    <s v="Item_1_MILK"/>
    <n v="5"/>
    <n v="10"/>
    <n v="50"/>
    <x v="0"/>
    <x v="0"/>
    <d v="2022-02-11T00:00:00"/>
    <x v="0"/>
  </r>
  <r>
    <s v="TXN_1249742"/>
    <s v="CUST_05"/>
    <x v="1"/>
    <s v="Item_24_MILK"/>
    <n v="39.5"/>
    <n v="10"/>
    <n v="395"/>
    <x v="0"/>
    <x v="0"/>
    <d v="2024-03-21T00:00:00"/>
    <x v="1"/>
  </r>
  <r>
    <s v="TXN_4633046"/>
    <s v="CUST_13"/>
    <x v="7"/>
    <s v="Item_2_CEA"/>
    <n v="6.5"/>
    <n v="5"/>
    <n v="32.5"/>
    <x v="0"/>
    <x v="0"/>
    <d v="2023-08-25T00:00:00"/>
    <x v="1"/>
  </r>
  <r>
    <s v="TXN_3519817"/>
    <s v="CUST_22"/>
    <x v="2"/>
    <s v="Item_18_BUT"/>
    <n v="30.5"/>
    <n v="4"/>
    <n v="122"/>
    <x v="0"/>
    <x v="0"/>
    <d v="2022-06-14T00:00:00"/>
    <x v="0"/>
  </r>
  <r>
    <s v="TXN_1154680"/>
    <s v="CUST_25"/>
    <x v="5"/>
    <s v="Item_21_FUR"/>
    <n v="35"/>
    <n v="1"/>
    <n v="35"/>
    <x v="1"/>
    <x v="0"/>
    <d v="2022-12-18T00:00:00"/>
    <x v="1"/>
  </r>
  <r>
    <s v="TXN_9177662"/>
    <s v="CUST_15"/>
    <x v="5"/>
    <s v="Item_14_FUR"/>
    <n v="24.5"/>
    <n v="1"/>
    <n v="24.5"/>
    <x v="2"/>
    <x v="1"/>
    <d v="2024-09-30T00:00:00"/>
    <x v="0"/>
  </r>
  <r>
    <s v="TXN_4801202"/>
    <s v="CUST_16"/>
    <x v="5"/>
    <s v="Item_1_FUR"/>
    <n v="5"/>
    <n v="3"/>
    <n v="15"/>
    <x v="0"/>
    <x v="0"/>
    <d v="2024-05-31T00:00:00"/>
    <x v="1"/>
  </r>
  <r>
    <s v="TXN_6149882"/>
    <s v="CUST_09"/>
    <x v="3"/>
    <s v="Item_20_BEV"/>
    <n v="33.5"/>
    <n v="1"/>
    <n v="33.5"/>
    <x v="1"/>
    <x v="0"/>
    <d v="2023-01-22T00:00:00"/>
    <x v="1"/>
  </r>
  <r>
    <s v="TXN_8809000"/>
    <s v="CUST_23"/>
    <x v="1"/>
    <s v="Item_3_MILK"/>
    <n v="8"/>
    <n v="3"/>
    <n v="24"/>
    <x v="2"/>
    <x v="1"/>
    <d v="2023-01-10T00:00:00"/>
    <x v="1"/>
  </r>
  <r>
    <s v="TXN_5008001"/>
    <s v="CUST_03"/>
    <x v="6"/>
    <s v="Item_10_EHE"/>
    <n v="18.5"/>
    <n v="6"/>
    <n v="111"/>
    <x v="1"/>
    <x v="0"/>
    <d v="2024-11-04T00:00:00"/>
    <x v="1"/>
  </r>
  <r>
    <s v="TXN_5111184"/>
    <s v="CUST_19"/>
    <x v="1"/>
    <s v="Item_11_MILK"/>
    <n v="20"/>
    <n v="6"/>
    <n v="120"/>
    <x v="1"/>
    <x v="0"/>
    <d v="2024-07-18T00:00:00"/>
    <x v="0"/>
  </r>
  <r>
    <s v="TXN_1499774"/>
    <s v="CUST_07"/>
    <x v="2"/>
    <s v="Item_3_BUT"/>
    <n v="8"/>
    <n v="5"/>
    <n v="40"/>
    <x v="1"/>
    <x v="1"/>
    <d v="2022-12-15T00:00:00"/>
    <x v="0"/>
  </r>
  <r>
    <s v="TXN_2565828"/>
    <s v="CUST_21"/>
    <x v="4"/>
    <s v="Item_24_FOOD"/>
    <n v="39.5"/>
    <n v="10"/>
    <n v="395"/>
    <x v="1"/>
    <x v="0"/>
    <d v="2022-02-18T00:00:00"/>
    <x v="1"/>
  </r>
  <r>
    <s v="TXN_6312937"/>
    <s v="CUST_14"/>
    <x v="7"/>
    <s v="Item_13_CEA"/>
    <n v="23"/>
    <n v="2"/>
    <n v="46"/>
    <x v="0"/>
    <x v="1"/>
    <d v="2024-02-09T00:00:00"/>
    <x v="1"/>
  </r>
  <r>
    <s v="TXN_8775503"/>
    <s v="CUST_08"/>
    <x v="7"/>
    <s v="Item_6_CEA"/>
    <n v="12.5"/>
    <n v="2"/>
    <n v="25"/>
    <x v="0"/>
    <x v="1"/>
    <d v="2024-10-11T00:00:00"/>
    <x v="1"/>
  </r>
  <r>
    <s v="TXN_3541663"/>
    <s v="CUST_25"/>
    <x v="5"/>
    <s v="Item_2_FUR"/>
    <n v="6.5"/>
    <n v="5"/>
    <n v="32.5"/>
    <x v="0"/>
    <x v="1"/>
    <d v="2023-07-19T00:00:00"/>
    <x v="1"/>
  </r>
  <r>
    <s v="TXN_4947386"/>
    <s v="CUST_13"/>
    <x v="4"/>
    <s v="Item_18_FOOD"/>
    <n v="30.5"/>
    <n v="10"/>
    <n v="305"/>
    <x v="2"/>
    <x v="0"/>
    <d v="2024-11-12T00:00:00"/>
    <x v="1"/>
  </r>
  <r>
    <s v="TXN_4276451"/>
    <s v="CUST_17"/>
    <x v="3"/>
    <s v="Item_22_BEV"/>
    <n v="36.5"/>
    <n v="1"/>
    <n v="36.5"/>
    <x v="1"/>
    <x v="0"/>
    <d v="2024-05-27T00:00:00"/>
    <x v="1"/>
  </r>
  <r>
    <s v="TXN_3380295"/>
    <s v="CUST_08"/>
    <x v="3"/>
    <s v="Item_6_BEV"/>
    <n v="12.5"/>
    <n v="5"/>
    <n v="62.5"/>
    <x v="2"/>
    <x v="0"/>
    <d v="2023-02-08T00:00:00"/>
    <x v="1"/>
  </r>
  <r>
    <s v="TXN_1390866"/>
    <s v="CUST_09"/>
    <x v="0"/>
    <s v="Item_6_PAT"/>
    <n v="12.5"/>
    <n v="2"/>
    <n v="25"/>
    <x v="0"/>
    <x v="1"/>
    <d v="2024-03-30T00:00:00"/>
    <x v="1"/>
  </r>
  <r>
    <s v="TXN_8616546"/>
    <s v="CUST_09"/>
    <x v="3"/>
    <s v="Item_21_BEV"/>
    <n v="35"/>
    <n v="8"/>
    <n v="280"/>
    <x v="1"/>
    <x v="0"/>
    <d v="2023-04-01T00:00:00"/>
    <x v="0"/>
  </r>
  <r>
    <s v="TXN_1804192"/>
    <s v="CUST_20"/>
    <x v="5"/>
    <s v="Item_8_FUR"/>
    <n v="15.5"/>
    <n v="9"/>
    <n v="139.5"/>
    <x v="2"/>
    <x v="0"/>
    <d v="2024-06-07T00:00:00"/>
    <x v="1"/>
  </r>
  <r>
    <s v="TXN_5046818"/>
    <s v="CUST_02"/>
    <x v="2"/>
    <s v="Item_22_BUT"/>
    <n v="36.5"/>
    <n v="6"/>
    <n v="219"/>
    <x v="0"/>
    <x v="1"/>
    <d v="2024-07-03T00:00:00"/>
    <x v="1"/>
  </r>
  <r>
    <s v="TXN_4626993"/>
    <s v="CUST_24"/>
    <x v="2"/>
    <s v="Item_13_BUT"/>
    <n v="23"/>
    <n v="7"/>
    <n v="161"/>
    <x v="1"/>
    <x v="0"/>
    <d v="2023-08-23T00:00:00"/>
    <x v="1"/>
  </r>
  <r>
    <s v="TXN_5256349"/>
    <s v="CUST_25"/>
    <x v="3"/>
    <s v="Item_2_BEV"/>
    <n v="6.5"/>
    <n v="4"/>
    <n v="26"/>
    <x v="0"/>
    <x v="0"/>
    <d v="2022-09-27T00:00:00"/>
    <x v="1"/>
  </r>
  <r>
    <s v="TXN_3822751"/>
    <s v="CUST_21"/>
    <x v="2"/>
    <s v="Item_12_BUT"/>
    <n v="14"/>
    <n v="9"/>
    <n v="126"/>
    <x v="0"/>
    <x v="1"/>
    <d v="2024-03-04T00:00:00"/>
    <x v="1"/>
  </r>
  <r>
    <s v="TXN_1882210"/>
    <s v="CUST_13"/>
    <x v="4"/>
    <s v="Item_14_FOOD"/>
    <n v="24.5"/>
    <n v="4"/>
    <n v="98"/>
    <x v="0"/>
    <x v="1"/>
    <d v="2022-03-02T00:00:00"/>
    <x v="0"/>
  </r>
  <r>
    <s v="TXN_9209383"/>
    <s v="CUST_12"/>
    <x v="6"/>
    <s v="Item_7_EHE"/>
    <n v="14"/>
    <n v="9"/>
    <n v="126"/>
    <x v="1"/>
    <x v="1"/>
    <d v="2024-09-16T00:00:00"/>
    <x v="1"/>
  </r>
  <r>
    <s v="TXN_2196324"/>
    <s v="CUST_11"/>
    <x v="2"/>
    <s v="Item_21_BUT"/>
    <n v="35"/>
    <n v="9"/>
    <n v="315"/>
    <x v="2"/>
    <x v="1"/>
    <d v="2024-02-08T00:00:00"/>
    <x v="0"/>
  </r>
  <r>
    <s v="TXN_7020797"/>
    <s v="CUST_22"/>
    <x v="4"/>
    <s v="Item_9_FOOD"/>
    <n v="17"/>
    <n v="5"/>
    <n v="85"/>
    <x v="0"/>
    <x v="1"/>
    <d v="2024-04-20T00:00:00"/>
    <x v="1"/>
  </r>
  <r>
    <s v="TXN_7594834"/>
    <s v="CUST_22"/>
    <x v="5"/>
    <s v="Item_25_FUR"/>
    <n v="41"/>
    <n v="1"/>
    <n v="41"/>
    <x v="1"/>
    <x v="1"/>
    <d v="2024-03-16T00:00:00"/>
    <x v="1"/>
  </r>
  <r>
    <s v="TXN_3229559"/>
    <s v="CUST_02"/>
    <x v="3"/>
    <s v="Item_7_BEV"/>
    <n v="14"/>
    <n v="9"/>
    <n v="126"/>
    <x v="0"/>
    <x v="0"/>
    <d v="2022-12-02T00:00:00"/>
    <x v="0"/>
  </r>
  <r>
    <s v="TXN_1336269"/>
    <s v="CUST_19"/>
    <x v="3"/>
    <s v="Item_7_BEV"/>
    <n v="14"/>
    <n v="6"/>
    <n v="84"/>
    <x v="0"/>
    <x v="0"/>
    <d v="2024-12-25T00:00:00"/>
    <x v="1"/>
  </r>
  <r>
    <s v="TXN_2479337"/>
    <s v="CUST_10"/>
    <x v="0"/>
    <s v="Item_25_PAT"/>
    <n v="41"/>
    <n v="7"/>
    <n v="287"/>
    <x v="1"/>
    <x v="1"/>
    <d v="2023-08-05T00:00:00"/>
    <x v="1"/>
  </r>
  <r>
    <s v="TXN_8784273"/>
    <s v="CUST_25"/>
    <x v="7"/>
    <s v="Item_14_CEA"/>
    <n v="24.5"/>
    <n v="4"/>
    <n v="98"/>
    <x v="2"/>
    <x v="1"/>
    <d v="2022-05-02T00:00:00"/>
    <x v="1"/>
  </r>
  <r>
    <s v="TXN_7771182"/>
    <s v="CUST_10"/>
    <x v="6"/>
    <s v="Item_19_EHE"/>
    <n v="32"/>
    <n v="6"/>
    <n v="192"/>
    <x v="1"/>
    <x v="1"/>
    <d v="2022-01-20T00:00:00"/>
    <x v="1"/>
  </r>
  <r>
    <s v="TXN_1132339"/>
    <s v="CUST_01"/>
    <x v="3"/>
    <s v="Item_11_BEV"/>
    <n v="20"/>
    <n v="4"/>
    <n v="80"/>
    <x v="1"/>
    <x v="0"/>
    <d v="2023-07-12T00:00:00"/>
    <x v="1"/>
  </r>
  <r>
    <s v="TXN_8283332"/>
    <s v="CUST_16"/>
    <x v="3"/>
    <s v="Item_23_BEV"/>
    <n v="38"/>
    <n v="6"/>
    <n v="228"/>
    <x v="2"/>
    <x v="0"/>
    <d v="2023-11-13T00:00:00"/>
    <x v="1"/>
  </r>
  <r>
    <s v="TXN_9496190"/>
    <s v="CUST_18"/>
    <x v="7"/>
    <s v="Item_18_CEA"/>
    <n v="30.5"/>
    <n v="3"/>
    <n v="91.5"/>
    <x v="2"/>
    <x v="0"/>
    <d v="2024-02-24T00:00:00"/>
    <x v="1"/>
  </r>
  <r>
    <s v="TXN_5205620"/>
    <s v="CUST_17"/>
    <x v="0"/>
    <s v="Item_11_PAT"/>
    <n v="20"/>
    <n v="7"/>
    <n v="140"/>
    <x v="2"/>
    <x v="1"/>
    <d v="2023-06-26T00:00:00"/>
    <x v="0"/>
  </r>
  <r>
    <s v="TXN_4448047"/>
    <s v="CUST_03"/>
    <x v="1"/>
    <s v="Item_8_MILK"/>
    <n v="15.5"/>
    <n v="6"/>
    <n v="93"/>
    <x v="1"/>
    <x v="0"/>
    <d v="2022-06-15T00:00:00"/>
    <x v="1"/>
  </r>
  <r>
    <s v="TXN_2163190"/>
    <s v="CUST_20"/>
    <x v="0"/>
    <s v="Item_16_PAT"/>
    <n v="27.5"/>
    <n v="2"/>
    <n v="55"/>
    <x v="0"/>
    <x v="0"/>
    <d v="2022-05-30T00:00:00"/>
    <x v="0"/>
  </r>
  <r>
    <s v="TXN_3338914"/>
    <s v="CUST_16"/>
    <x v="4"/>
    <s v="Item_20_FOOD"/>
    <n v="33.5"/>
    <n v="10"/>
    <n v="335"/>
    <x v="0"/>
    <x v="0"/>
    <d v="2024-05-29T00:00:00"/>
    <x v="1"/>
  </r>
  <r>
    <s v="TXN_8959624"/>
    <s v="CUST_09"/>
    <x v="1"/>
    <s v="Item_1_MILK"/>
    <n v="5"/>
    <n v="7"/>
    <n v="35"/>
    <x v="0"/>
    <x v="0"/>
    <d v="2024-12-18T00:00:00"/>
    <x v="1"/>
  </r>
  <r>
    <s v="TXN_1821423"/>
    <s v="CUST_22"/>
    <x v="5"/>
    <s v="Item_25_FUR"/>
    <n v="41"/>
    <n v="2"/>
    <n v="82"/>
    <x v="1"/>
    <x v="0"/>
    <d v="2022-01-13T00:00:00"/>
    <x v="1"/>
  </r>
  <r>
    <s v="TXN_1175914"/>
    <s v="CUST_13"/>
    <x v="2"/>
    <s v="Item_13_BUT"/>
    <n v="23"/>
    <n v="7"/>
    <n v="161"/>
    <x v="2"/>
    <x v="1"/>
    <d v="2023-05-19T00:00:00"/>
    <x v="1"/>
  </r>
  <r>
    <s v="TXN_9760482"/>
    <s v="CUST_07"/>
    <x v="7"/>
    <s v="Item_11_CEA"/>
    <n v="20"/>
    <n v="9"/>
    <n v="180"/>
    <x v="0"/>
    <x v="1"/>
    <d v="2023-01-06T00:00:00"/>
    <x v="0"/>
  </r>
  <r>
    <s v="TXN_8460432"/>
    <s v="CUST_15"/>
    <x v="5"/>
    <s v="Item_5_FUR"/>
    <n v="11"/>
    <n v="8"/>
    <n v="88"/>
    <x v="0"/>
    <x v="0"/>
    <d v="2022-02-05T00:00:00"/>
    <x v="1"/>
  </r>
  <r>
    <s v="TXN_9610555"/>
    <s v="CUST_15"/>
    <x v="3"/>
    <s v="Item_2_BEV"/>
    <n v="6.5"/>
    <n v="1"/>
    <n v="6.5"/>
    <x v="2"/>
    <x v="1"/>
    <d v="2022-11-15T00:00:00"/>
    <x v="1"/>
  </r>
  <r>
    <s v="TXN_8136588"/>
    <s v="CUST_07"/>
    <x v="1"/>
    <s v="Item_16_MILK"/>
    <n v="27.5"/>
    <n v="7"/>
    <n v="192.5"/>
    <x v="0"/>
    <x v="1"/>
    <d v="2022-10-24T00:00:00"/>
    <x v="1"/>
  </r>
  <r>
    <s v="TXN_6630594"/>
    <s v="CUST_07"/>
    <x v="1"/>
    <s v="Item_3_MILK"/>
    <n v="8"/>
    <n v="5"/>
    <n v="40"/>
    <x v="2"/>
    <x v="1"/>
    <d v="2023-12-03T00:00:00"/>
    <x v="1"/>
  </r>
  <r>
    <s v="TXN_4844684"/>
    <s v="CUST_20"/>
    <x v="2"/>
    <s v="Item_20_BUT"/>
    <n v="33.5"/>
    <n v="5"/>
    <n v="167.5"/>
    <x v="0"/>
    <x v="0"/>
    <d v="2022-07-23T00:00:00"/>
    <x v="1"/>
  </r>
  <r>
    <s v="TXN_9882772"/>
    <s v="CUST_09"/>
    <x v="5"/>
    <s v="Item_17_FUR"/>
    <n v="29"/>
    <n v="9"/>
    <n v="261"/>
    <x v="2"/>
    <x v="0"/>
    <d v="2023-08-07T00:00:00"/>
    <x v="0"/>
  </r>
  <r>
    <s v="TXN_2611065"/>
    <s v="CUST_04"/>
    <x v="1"/>
    <s v="Item_15_MILK"/>
    <n v="26"/>
    <n v="8"/>
    <n v="208"/>
    <x v="2"/>
    <x v="1"/>
    <d v="2023-02-05T00:00:00"/>
    <x v="1"/>
  </r>
  <r>
    <s v="TXN_9896056"/>
    <s v="CUST_10"/>
    <x v="6"/>
    <s v="Item_20_EHE"/>
    <n v="33.5"/>
    <n v="3"/>
    <n v="100.5"/>
    <x v="0"/>
    <x v="0"/>
    <d v="2022-12-29T00:00:00"/>
    <x v="0"/>
  </r>
  <r>
    <s v="TXN_2749184"/>
    <s v="CUST_24"/>
    <x v="4"/>
    <s v="Item_20_FOOD"/>
    <n v="33.5"/>
    <n v="5"/>
    <n v="167.5"/>
    <x v="1"/>
    <x v="0"/>
    <d v="2023-04-18T00:00:00"/>
    <x v="0"/>
  </r>
  <r>
    <s v="TXN_3135312"/>
    <s v="CUST_11"/>
    <x v="6"/>
    <s v="Item_16_EHE"/>
    <n v="27.5"/>
    <n v="10"/>
    <n v="275"/>
    <x v="2"/>
    <x v="0"/>
    <d v="2022-09-27T00:00:00"/>
    <x v="0"/>
  </r>
  <r>
    <s v="TXN_4879766"/>
    <s v="CUST_13"/>
    <x v="7"/>
    <s v="Item_20_CEA"/>
    <n v="33.5"/>
    <n v="4"/>
    <n v="134"/>
    <x v="0"/>
    <x v="0"/>
    <d v="2023-06-03T00:00:00"/>
    <x v="1"/>
  </r>
  <r>
    <s v="TXN_5822350"/>
    <s v="CUST_16"/>
    <x v="6"/>
    <s v="Item_23_EHE"/>
    <n v="38"/>
    <n v="1"/>
    <n v="38"/>
    <x v="2"/>
    <x v="1"/>
    <d v="2022-03-21T00:00:00"/>
    <x v="0"/>
  </r>
  <r>
    <s v="TXN_2755139"/>
    <s v="CUST_21"/>
    <x v="1"/>
    <s v="Item_4_MILK"/>
    <n v="9.5"/>
    <n v="1"/>
    <n v="9.5"/>
    <x v="0"/>
    <x v="0"/>
    <d v="2023-12-19T00:00:00"/>
    <x v="1"/>
  </r>
  <r>
    <s v="TXN_1484334"/>
    <s v="CUST_01"/>
    <x v="2"/>
    <s v="Item_7_BUT"/>
    <n v="14"/>
    <n v="3"/>
    <n v="42"/>
    <x v="2"/>
    <x v="0"/>
    <d v="2023-03-19T00:00:00"/>
    <x v="1"/>
  </r>
  <r>
    <s v="TXN_3557526"/>
    <s v="CUST_21"/>
    <x v="7"/>
    <s v="Item_16_CEA"/>
    <n v="27.5"/>
    <n v="9"/>
    <n v="247.5"/>
    <x v="0"/>
    <x v="1"/>
    <d v="2023-12-25T00:00:00"/>
    <x v="1"/>
  </r>
  <r>
    <s v="TXN_8960682"/>
    <s v="CUST_25"/>
    <x v="6"/>
    <s v="Item_1_EHE"/>
    <n v="5"/>
    <n v="2"/>
    <n v="10"/>
    <x v="2"/>
    <x v="0"/>
    <d v="2023-06-10T00:00:00"/>
    <x v="1"/>
  </r>
  <r>
    <s v="TXN_8973416"/>
    <s v="CUST_13"/>
    <x v="2"/>
    <s v="Item_13_BUT"/>
    <n v="23"/>
    <n v="6"/>
    <n v="138"/>
    <x v="2"/>
    <x v="1"/>
    <d v="2022-09-10T00:00:00"/>
    <x v="0"/>
  </r>
  <r>
    <s v="TXN_5487046"/>
    <s v="CUST_22"/>
    <x v="7"/>
    <s v="Item_19_CEA"/>
    <n v="32"/>
    <n v="9"/>
    <n v="288"/>
    <x v="2"/>
    <x v="0"/>
    <d v="2022-06-06T00:00:00"/>
    <x v="1"/>
  </r>
  <r>
    <s v="TXN_5945222"/>
    <s v="CUST_04"/>
    <x v="2"/>
    <s v="Item_20_BUT"/>
    <n v="33.5"/>
    <n v="5"/>
    <n v="167.5"/>
    <x v="0"/>
    <x v="1"/>
    <d v="2024-08-11T00:00:00"/>
    <x v="1"/>
  </r>
  <r>
    <s v="TXN_1334483"/>
    <s v="CUST_17"/>
    <x v="7"/>
    <s v="Item_11_CEA"/>
    <n v="20"/>
    <n v="3"/>
    <n v="60"/>
    <x v="2"/>
    <x v="0"/>
    <d v="2023-07-17T00:00:00"/>
    <x v="1"/>
  </r>
  <r>
    <s v="TXN_8777313"/>
    <s v="CUST_20"/>
    <x v="4"/>
    <s v="Item_25_FOOD"/>
    <n v="41"/>
    <n v="3"/>
    <n v="123"/>
    <x v="0"/>
    <x v="1"/>
    <d v="2023-04-20T00:00:00"/>
    <x v="1"/>
  </r>
  <r>
    <s v="TXN_2690179"/>
    <s v="CUST_12"/>
    <x v="6"/>
    <s v="Item_12_EHE"/>
    <n v="21.5"/>
    <n v="2"/>
    <n v="43"/>
    <x v="0"/>
    <x v="1"/>
    <d v="2023-09-09T00:00:00"/>
    <x v="0"/>
  </r>
  <r>
    <s v="TXN_2795990"/>
    <s v="CUST_03"/>
    <x v="6"/>
    <s v="Item_22_EHE"/>
    <n v="36.5"/>
    <n v="2"/>
    <n v="73"/>
    <x v="0"/>
    <x v="1"/>
    <d v="2024-07-15T00:00:00"/>
    <x v="1"/>
  </r>
  <r>
    <s v="TXN_1402493"/>
    <s v="CUST_24"/>
    <x v="5"/>
    <s v="Item_24_FUR"/>
    <n v="39.5"/>
    <n v="5"/>
    <n v="197.5"/>
    <x v="1"/>
    <x v="1"/>
    <d v="2024-11-27T00:00:00"/>
    <x v="1"/>
  </r>
  <r>
    <s v="TXN_2438514"/>
    <s v="CUST_15"/>
    <x v="0"/>
    <s v="Item_13_PAT"/>
    <n v="23"/>
    <n v="3"/>
    <n v="69"/>
    <x v="0"/>
    <x v="0"/>
    <d v="2024-02-13T00:00:00"/>
    <x v="0"/>
  </r>
  <r>
    <s v="TXN_6229786"/>
    <s v="CUST_04"/>
    <x v="4"/>
    <s v="Item_18_FOOD"/>
    <n v="30.5"/>
    <n v="2"/>
    <n v="61"/>
    <x v="2"/>
    <x v="1"/>
    <d v="2022-01-20T00:00:00"/>
    <x v="1"/>
  </r>
  <r>
    <s v="TXN_6490151"/>
    <s v="CUST_08"/>
    <x v="7"/>
    <s v="Item_21_CEA"/>
    <n v="35"/>
    <n v="4"/>
    <n v="140"/>
    <x v="0"/>
    <x v="1"/>
    <d v="2024-10-17T00:00:00"/>
    <x v="1"/>
  </r>
  <r>
    <s v="TXN_9331694"/>
    <s v="CUST_13"/>
    <x v="7"/>
    <s v="Item_2_CEA"/>
    <n v="6.5"/>
    <n v="8"/>
    <n v="52"/>
    <x v="1"/>
    <x v="0"/>
    <d v="2023-12-09T00:00:00"/>
    <x v="1"/>
  </r>
  <r>
    <s v="TXN_8547389"/>
    <s v="CUST_11"/>
    <x v="6"/>
    <s v="Item_17_EHE"/>
    <n v="29"/>
    <n v="4"/>
    <n v="116"/>
    <x v="2"/>
    <x v="0"/>
    <d v="2022-05-26T00:00:00"/>
    <x v="1"/>
  </r>
  <r>
    <s v="TXN_7324151"/>
    <s v="CUST_16"/>
    <x v="7"/>
    <s v="Item_21_CEA"/>
    <n v="35"/>
    <n v="2"/>
    <n v="70"/>
    <x v="1"/>
    <x v="1"/>
    <d v="2024-08-30T00:00:00"/>
    <x v="1"/>
  </r>
  <r>
    <s v="TXN_1588276"/>
    <s v="CUST_20"/>
    <x v="2"/>
    <s v="Item_8_BUT"/>
    <n v="15.5"/>
    <n v="3"/>
    <n v="46.5"/>
    <x v="0"/>
    <x v="1"/>
    <d v="2022-10-08T00:00:00"/>
    <x v="1"/>
  </r>
  <r>
    <s v="TXN_6590263"/>
    <s v="CUST_14"/>
    <x v="0"/>
    <s v="Item_1_PAT"/>
    <n v="5"/>
    <n v="7"/>
    <n v="35"/>
    <x v="0"/>
    <x v="0"/>
    <d v="2024-12-11T00:00:00"/>
    <x v="1"/>
  </r>
  <r>
    <s v="TXN_2251132"/>
    <s v="CUST_20"/>
    <x v="4"/>
    <s v="Item_6_FOOD"/>
    <n v="12.5"/>
    <n v="4"/>
    <n v="50"/>
    <x v="2"/>
    <x v="0"/>
    <d v="2024-07-15T00:00:00"/>
    <x v="1"/>
  </r>
  <r>
    <s v="TXN_1048755"/>
    <s v="CUST_05"/>
    <x v="2"/>
    <s v="Item_25_BUT"/>
    <n v="41"/>
    <n v="3"/>
    <n v="123"/>
    <x v="1"/>
    <x v="0"/>
    <d v="2024-10-06T00:00:00"/>
    <x v="0"/>
  </r>
  <r>
    <s v="TXN_2530704"/>
    <s v="CUST_25"/>
    <x v="2"/>
    <s v="Item_23_BUT"/>
    <n v="38"/>
    <n v="2"/>
    <n v="76"/>
    <x v="0"/>
    <x v="1"/>
    <d v="2024-01-04T00:00:00"/>
    <x v="1"/>
  </r>
  <r>
    <s v="TXN_7804271"/>
    <s v="CUST_22"/>
    <x v="0"/>
    <s v="Item_1_PAT"/>
    <n v="5"/>
    <n v="8"/>
    <n v="40"/>
    <x v="2"/>
    <x v="0"/>
    <d v="2023-02-10T00:00:00"/>
    <x v="1"/>
  </r>
  <r>
    <s v="TXN_6926974"/>
    <s v="CUST_22"/>
    <x v="7"/>
    <s v="Item_4_CEA"/>
    <n v="9.5"/>
    <n v="5"/>
    <n v="47.5"/>
    <x v="1"/>
    <x v="0"/>
    <d v="2024-10-16T00:00:00"/>
    <x v="1"/>
  </r>
  <r>
    <s v="TXN_1722933"/>
    <s v="CUST_20"/>
    <x v="7"/>
    <s v="Item_21_CEA"/>
    <n v="35"/>
    <n v="7"/>
    <n v="245"/>
    <x v="2"/>
    <x v="0"/>
    <d v="2023-08-12T00:00:00"/>
    <x v="1"/>
  </r>
  <r>
    <s v="TXN_5846723"/>
    <s v="CUST_05"/>
    <x v="0"/>
    <s v="Item_10_PAT"/>
    <n v="18.5"/>
    <n v="3"/>
    <n v="55.5"/>
    <x v="2"/>
    <x v="1"/>
    <d v="2024-01-28T00:00:00"/>
    <x v="1"/>
  </r>
  <r>
    <s v="TXN_8759839"/>
    <s v="CUST_10"/>
    <x v="1"/>
    <s v="Item_2_MILK"/>
    <n v="6.5"/>
    <n v="1"/>
    <n v="6.5"/>
    <x v="0"/>
    <x v="0"/>
    <d v="2024-06-03T00:00:00"/>
    <x v="1"/>
  </r>
  <r>
    <s v="TXN_1747548"/>
    <s v="CUST_04"/>
    <x v="3"/>
    <s v="Item_25_BEV"/>
    <n v="41"/>
    <n v="2"/>
    <n v="82"/>
    <x v="0"/>
    <x v="0"/>
    <d v="2024-11-06T00:00:00"/>
    <x v="1"/>
  </r>
  <r>
    <s v="TXN_2202698"/>
    <s v="CUST_16"/>
    <x v="1"/>
    <s v="Item_8_MILK"/>
    <n v="15.5"/>
    <n v="6"/>
    <n v="93"/>
    <x v="0"/>
    <x v="1"/>
    <d v="2022-08-18T00:00:00"/>
    <x v="1"/>
  </r>
  <r>
    <s v="TXN_7296074"/>
    <s v="CUST_23"/>
    <x v="7"/>
    <s v="Item_18_CEA"/>
    <n v="30.5"/>
    <n v="5"/>
    <n v="152.5"/>
    <x v="1"/>
    <x v="0"/>
    <d v="2022-10-09T00:00:00"/>
    <x v="0"/>
  </r>
  <r>
    <s v="TXN_8786633"/>
    <s v="CUST_16"/>
    <x v="0"/>
    <s v="Item_24_PAT"/>
    <n v="39.5"/>
    <n v="3"/>
    <n v="118.5"/>
    <x v="1"/>
    <x v="0"/>
    <d v="2022-09-14T00:00:00"/>
    <x v="1"/>
  </r>
  <r>
    <s v="TXN_4174281"/>
    <s v="CUST_19"/>
    <x v="2"/>
    <s v="Item_1_BUT"/>
    <n v="5"/>
    <n v="7"/>
    <n v="35"/>
    <x v="0"/>
    <x v="1"/>
    <d v="2023-04-18T00:00:00"/>
    <x v="1"/>
  </r>
  <r>
    <s v="TXN_3866783"/>
    <s v="CUST_12"/>
    <x v="4"/>
    <s v="Item_25_FOOD"/>
    <n v="41"/>
    <n v="3"/>
    <n v="123"/>
    <x v="1"/>
    <x v="1"/>
    <d v="2022-03-27T00:00:00"/>
    <x v="1"/>
  </r>
  <r>
    <s v="TXN_9048177"/>
    <s v="CUST_08"/>
    <x v="0"/>
    <s v="Item_6_PAT"/>
    <n v="12.5"/>
    <n v="2"/>
    <n v="25"/>
    <x v="0"/>
    <x v="1"/>
    <d v="2023-11-03T00:00:00"/>
    <x v="1"/>
  </r>
  <r>
    <s v="TXN_8842339"/>
    <s v="CUST_22"/>
    <x v="3"/>
    <s v="Item_12_BEV"/>
    <n v="21.5"/>
    <n v="8"/>
    <n v="172"/>
    <x v="0"/>
    <x v="1"/>
    <d v="2023-05-14T00:00:00"/>
    <x v="1"/>
  </r>
  <r>
    <s v="TXN_6288602"/>
    <s v="CUST_12"/>
    <x v="2"/>
    <s v="Item_21_BUT"/>
    <n v="35"/>
    <n v="8"/>
    <n v="280"/>
    <x v="1"/>
    <x v="1"/>
    <d v="2023-11-28T00:00:00"/>
    <x v="0"/>
  </r>
  <r>
    <s v="TXN_3805794"/>
    <s v="CUST_05"/>
    <x v="2"/>
    <s v="Item_23_BUT"/>
    <n v="38"/>
    <n v="5"/>
    <n v="190"/>
    <x v="1"/>
    <x v="0"/>
    <d v="2024-08-29T00:00:00"/>
    <x v="1"/>
  </r>
  <r>
    <s v="TXN_5488509"/>
    <s v="CUST_21"/>
    <x v="2"/>
    <s v="Item_16_BUT"/>
    <n v="27.5"/>
    <n v="7"/>
    <n v="192.5"/>
    <x v="0"/>
    <x v="0"/>
    <d v="2022-02-12T00:00:00"/>
    <x v="1"/>
  </r>
  <r>
    <s v="TXN_1811555"/>
    <s v="CUST_15"/>
    <x v="4"/>
    <s v="Item_11_FOOD"/>
    <n v="30.5"/>
    <n v="1"/>
    <n v="30.5"/>
    <x v="2"/>
    <x v="0"/>
    <d v="2023-07-31T00:00:00"/>
    <x v="0"/>
  </r>
  <r>
    <s v="TXN_4878744"/>
    <s v="CUST_02"/>
    <x v="6"/>
    <s v="Item_10_EHE"/>
    <n v="18.5"/>
    <n v="4"/>
    <n v="74"/>
    <x v="0"/>
    <x v="0"/>
    <d v="2022-06-26T00:00:00"/>
    <x v="1"/>
  </r>
  <r>
    <s v="TXN_9246169"/>
    <s v="CUST_14"/>
    <x v="6"/>
    <s v="Item_23_EHE"/>
    <n v="38"/>
    <n v="1"/>
    <n v="38"/>
    <x v="2"/>
    <x v="0"/>
    <d v="2023-08-16T00:00:00"/>
    <x v="1"/>
  </r>
  <r>
    <s v="TXN_3303186"/>
    <s v="CUST_06"/>
    <x v="4"/>
    <s v="Item_5_FOOD"/>
    <n v="11"/>
    <n v="6"/>
    <n v="66"/>
    <x v="1"/>
    <x v="1"/>
    <d v="2022-06-10T00:00:00"/>
    <x v="0"/>
  </r>
  <r>
    <s v="TXN_8503614"/>
    <s v="CUST_12"/>
    <x v="6"/>
    <s v="Item_21_EHE"/>
    <n v="35"/>
    <n v="3"/>
    <n v="105"/>
    <x v="1"/>
    <x v="0"/>
    <d v="2022-12-14T00:00:00"/>
    <x v="0"/>
  </r>
  <r>
    <s v="TXN_7214951"/>
    <s v="CUST_04"/>
    <x v="3"/>
    <s v="Item_25_BEV"/>
    <n v="41"/>
    <n v="5"/>
    <n v="205"/>
    <x v="2"/>
    <x v="1"/>
    <d v="2023-10-12T00:00:00"/>
    <x v="1"/>
  </r>
  <r>
    <s v="TXN_7423171"/>
    <s v="CUST_21"/>
    <x v="4"/>
    <s v="Item_12_FOOD"/>
    <n v="21.5"/>
    <n v="7"/>
    <n v="150.5"/>
    <x v="0"/>
    <x v="1"/>
    <d v="2024-09-13T00:00:00"/>
    <x v="1"/>
  </r>
  <r>
    <s v="TXN_1583510"/>
    <s v="CUST_11"/>
    <x v="7"/>
    <s v="Item_5_CEA"/>
    <n v="11"/>
    <n v="10"/>
    <n v="110"/>
    <x v="2"/>
    <x v="0"/>
    <d v="2024-01-29T00:00:00"/>
    <x v="1"/>
  </r>
  <r>
    <s v="TXN_7443511"/>
    <s v="CUST_08"/>
    <x v="1"/>
    <s v="Item_1_MILK"/>
    <n v="5"/>
    <n v="2"/>
    <n v="10"/>
    <x v="0"/>
    <x v="0"/>
    <d v="2023-05-07T00:00:00"/>
    <x v="0"/>
  </r>
  <r>
    <s v="TXN_4394615"/>
    <s v="CUST_20"/>
    <x v="1"/>
    <s v="Item_4_MILK"/>
    <n v="9.5"/>
    <n v="2"/>
    <n v="19"/>
    <x v="1"/>
    <x v="1"/>
    <d v="2024-10-20T00:00:00"/>
    <x v="1"/>
  </r>
  <r>
    <s v="TXN_3755291"/>
    <s v="CUST_09"/>
    <x v="1"/>
    <s v="Item_2_MILK"/>
    <n v="6.5"/>
    <n v="1"/>
    <n v="6.5"/>
    <x v="2"/>
    <x v="0"/>
    <d v="2022-11-15T00:00:00"/>
    <x v="1"/>
  </r>
  <r>
    <s v="TXN_3557501"/>
    <s v="CUST_08"/>
    <x v="4"/>
    <s v="Item_3_FOOD"/>
    <n v="8"/>
    <n v="6"/>
    <n v="48"/>
    <x v="1"/>
    <x v="1"/>
    <d v="2024-01-10T00:00:00"/>
    <x v="1"/>
  </r>
  <r>
    <s v="TXN_9827245"/>
    <s v="CUST_02"/>
    <x v="6"/>
    <s v="Item_21_EHE"/>
    <n v="35"/>
    <n v="5"/>
    <n v="175"/>
    <x v="0"/>
    <x v="0"/>
    <d v="2022-04-12T00:00:00"/>
    <x v="1"/>
  </r>
  <r>
    <s v="TXN_3187729"/>
    <s v="CUST_18"/>
    <x v="6"/>
    <s v="Item_25_EHE"/>
    <n v="41"/>
    <n v="9"/>
    <n v="369"/>
    <x v="0"/>
    <x v="1"/>
    <d v="2024-06-25T00:00:00"/>
    <x v="1"/>
  </r>
  <r>
    <s v="TXN_9667841"/>
    <s v="CUST_11"/>
    <x v="0"/>
    <s v="Item_22_PAT"/>
    <n v="36.5"/>
    <n v="7"/>
    <n v="255.5"/>
    <x v="0"/>
    <x v="0"/>
    <d v="2024-06-05T00:00:00"/>
    <x v="1"/>
  </r>
  <r>
    <s v="TXN_3433195"/>
    <s v="CUST_24"/>
    <x v="6"/>
    <s v="Item_12_EHE"/>
    <n v="21.5"/>
    <n v="7"/>
    <n v="150.5"/>
    <x v="2"/>
    <x v="0"/>
    <d v="2023-03-30T00:00:00"/>
    <x v="1"/>
  </r>
  <r>
    <s v="TXN_4731761"/>
    <s v="CUST_17"/>
    <x v="3"/>
    <s v="Item_6_BEV"/>
    <n v="12.5"/>
    <n v="3"/>
    <n v="37.5"/>
    <x v="1"/>
    <x v="1"/>
    <d v="2024-08-19T00:00:00"/>
    <x v="1"/>
  </r>
  <r>
    <s v="TXN_6339738"/>
    <s v="CUST_25"/>
    <x v="2"/>
    <s v="Item_12_BUT"/>
    <n v="21.5"/>
    <n v="7"/>
    <n v="150.5"/>
    <x v="1"/>
    <x v="1"/>
    <d v="2022-04-01T00:00:00"/>
    <x v="1"/>
  </r>
  <r>
    <s v="TXN_8912717"/>
    <s v="CUST_05"/>
    <x v="1"/>
    <s v="Item_2_MILK"/>
    <n v="6.5"/>
    <n v="10"/>
    <n v="65"/>
    <x v="1"/>
    <x v="1"/>
    <d v="2022-07-28T00:00:00"/>
    <x v="1"/>
  </r>
  <r>
    <s v="TXN_9840878"/>
    <s v="CUST_07"/>
    <x v="7"/>
    <s v="Item_9_CEA"/>
    <n v="17"/>
    <n v="10"/>
    <n v="170"/>
    <x v="0"/>
    <x v="1"/>
    <d v="2023-10-17T00:00:00"/>
    <x v="1"/>
  </r>
  <r>
    <s v="TXN_8186195"/>
    <s v="CUST_20"/>
    <x v="3"/>
    <s v="Item_8_BEV"/>
    <n v="15.5"/>
    <n v="5"/>
    <n v="77.5"/>
    <x v="0"/>
    <x v="0"/>
    <d v="2023-02-19T00:00:00"/>
    <x v="0"/>
  </r>
  <r>
    <s v="TXN_9410785"/>
    <s v="CUST_24"/>
    <x v="5"/>
    <s v="Item_6_FUR"/>
    <n v="12.5"/>
    <n v="1"/>
    <n v="12.5"/>
    <x v="0"/>
    <x v="0"/>
    <d v="2024-01-14T00:00:00"/>
    <x v="1"/>
  </r>
  <r>
    <s v="TXN_1536301"/>
    <s v="CUST_14"/>
    <x v="4"/>
    <s v="Item_10_FOOD"/>
    <n v="18.5"/>
    <n v="7"/>
    <n v="129.5"/>
    <x v="2"/>
    <x v="1"/>
    <d v="2023-06-12T00:00:00"/>
    <x v="1"/>
  </r>
  <r>
    <s v="TXN_6001621"/>
    <s v="CUST_15"/>
    <x v="5"/>
    <s v="Item_8_FUR"/>
    <n v="15.5"/>
    <n v="1"/>
    <n v="15.5"/>
    <x v="1"/>
    <x v="1"/>
    <d v="2022-10-09T00:00:00"/>
    <x v="1"/>
  </r>
  <r>
    <s v="TXN_2077907"/>
    <s v="CUST_16"/>
    <x v="5"/>
    <s v="Item_14_FUR"/>
    <n v="24.5"/>
    <n v="1"/>
    <n v="24.5"/>
    <x v="0"/>
    <x v="1"/>
    <d v="2022-06-20T00:00:00"/>
    <x v="1"/>
  </r>
  <r>
    <s v="TXN_6429566"/>
    <s v="CUST_01"/>
    <x v="1"/>
    <s v="Item_24_MILK"/>
    <n v="39.5"/>
    <n v="3"/>
    <n v="118.5"/>
    <x v="2"/>
    <x v="0"/>
    <d v="2023-03-08T00:00:00"/>
    <x v="1"/>
  </r>
  <r>
    <s v="TXN_4476611"/>
    <s v="CUST_13"/>
    <x v="4"/>
    <s v="Item_14_FOOD"/>
    <n v="24.5"/>
    <n v="6"/>
    <n v="147"/>
    <x v="1"/>
    <x v="0"/>
    <d v="2023-03-01T00:00:00"/>
    <x v="0"/>
  </r>
  <r>
    <s v="TXN_9130896"/>
    <s v="CUST_03"/>
    <x v="4"/>
    <s v="Item_11_FOOD"/>
    <n v="20"/>
    <n v="1"/>
    <n v="20"/>
    <x v="0"/>
    <x v="1"/>
    <d v="2022-05-17T00:00:00"/>
    <x v="0"/>
  </r>
  <r>
    <s v="TXN_4547031"/>
    <s v="CUST_18"/>
    <x v="0"/>
    <s v="Item_6_PAT"/>
    <n v="12.5"/>
    <n v="3"/>
    <n v="37.5"/>
    <x v="2"/>
    <x v="1"/>
    <d v="2024-03-27T00:00:00"/>
    <x v="1"/>
  </r>
  <r>
    <s v="TXN_6923046"/>
    <s v="CUST_11"/>
    <x v="2"/>
    <s v="Item_12_BUT"/>
    <n v="21.5"/>
    <n v="1"/>
    <n v="21.5"/>
    <x v="1"/>
    <x v="0"/>
    <d v="2023-08-22T00:00:00"/>
    <x v="1"/>
  </r>
  <r>
    <s v="TXN_5461118"/>
    <s v="CUST_03"/>
    <x v="2"/>
    <s v="Item_8_BUT"/>
    <n v="15.5"/>
    <n v="3"/>
    <n v="46.5"/>
    <x v="1"/>
    <x v="1"/>
    <d v="2024-08-20T00:00:00"/>
    <x v="0"/>
  </r>
  <r>
    <s v="TXN_8574406"/>
    <s v="CUST_16"/>
    <x v="5"/>
    <s v="Item_8_FUR"/>
    <n v="15.5"/>
    <n v="5"/>
    <n v="77.5"/>
    <x v="1"/>
    <x v="1"/>
    <d v="2024-05-23T00:00:00"/>
    <x v="0"/>
  </r>
  <r>
    <s v="TXN_4459526"/>
    <s v="CUST_11"/>
    <x v="1"/>
    <s v="Item_3_MILK"/>
    <n v="8"/>
    <n v="9"/>
    <n v="72"/>
    <x v="2"/>
    <x v="1"/>
    <d v="2022-01-03T00:00:00"/>
    <x v="1"/>
  </r>
  <r>
    <s v="TXN_9538956"/>
    <s v="CUST_10"/>
    <x v="7"/>
    <s v="Item_5_CEA"/>
    <n v="11"/>
    <n v="5"/>
    <n v="55"/>
    <x v="2"/>
    <x v="1"/>
    <d v="2022-02-22T00:00:00"/>
    <x v="1"/>
  </r>
  <r>
    <s v="TXN_7160998"/>
    <s v="CUST_13"/>
    <x v="7"/>
    <s v="Item_1_CEA"/>
    <n v="5"/>
    <n v="7"/>
    <n v="35"/>
    <x v="1"/>
    <x v="0"/>
    <d v="2022-02-08T00:00:00"/>
    <x v="0"/>
  </r>
  <r>
    <s v="TXN_6906173"/>
    <s v="CUST_02"/>
    <x v="0"/>
    <s v="Item_7_PAT"/>
    <n v="14"/>
    <n v="7"/>
    <n v="98"/>
    <x v="2"/>
    <x v="0"/>
    <d v="2024-11-04T00:00:00"/>
    <x v="1"/>
  </r>
  <r>
    <s v="TXN_3317964"/>
    <s v="CUST_25"/>
    <x v="1"/>
    <s v="Item_8_MILK"/>
    <n v="15.5"/>
    <n v="2"/>
    <n v="31"/>
    <x v="0"/>
    <x v="1"/>
    <d v="2024-07-01T00:00:00"/>
    <x v="1"/>
  </r>
  <r>
    <s v="TXN_4654673"/>
    <s v="CUST_20"/>
    <x v="2"/>
    <s v="Item_23_BUT"/>
    <n v="38"/>
    <n v="1"/>
    <n v="38"/>
    <x v="2"/>
    <x v="1"/>
    <d v="2024-09-14T00:00:00"/>
    <x v="1"/>
  </r>
  <r>
    <s v="TXN_9684703"/>
    <s v="CUST_15"/>
    <x v="7"/>
    <s v="Item_6_CEA"/>
    <n v="12.5"/>
    <n v="1"/>
    <n v="12.5"/>
    <x v="0"/>
    <x v="1"/>
    <d v="2024-02-05T00:00:00"/>
    <x v="1"/>
  </r>
  <r>
    <s v="TXN_7571093"/>
    <s v="CUST_17"/>
    <x v="1"/>
    <s v="Item_19_MILK"/>
    <n v="11"/>
    <n v="9"/>
    <n v="99"/>
    <x v="0"/>
    <x v="1"/>
    <d v="2022-11-18T00:00:00"/>
    <x v="1"/>
  </r>
  <r>
    <s v="TXN_1130823"/>
    <s v="CUST_13"/>
    <x v="7"/>
    <s v="Item_9_CEA"/>
    <n v="17"/>
    <n v="10"/>
    <n v="170"/>
    <x v="1"/>
    <x v="1"/>
    <d v="2024-11-02T00:00:00"/>
    <x v="1"/>
  </r>
  <r>
    <s v="TXN_2655759"/>
    <s v="CUST_23"/>
    <x v="5"/>
    <s v="Item_25_FUR"/>
    <n v="41"/>
    <n v="3"/>
    <n v="123"/>
    <x v="2"/>
    <x v="1"/>
    <d v="2024-09-18T00:00:00"/>
    <x v="1"/>
  </r>
  <r>
    <s v="TXN_8878269"/>
    <s v="CUST_05"/>
    <x v="7"/>
    <s v="Item_19_CEA"/>
    <n v="32"/>
    <n v="4"/>
    <n v="128"/>
    <x v="2"/>
    <x v="1"/>
    <d v="2024-12-08T00:00:00"/>
    <x v="1"/>
  </r>
  <r>
    <s v="TXN_5481124"/>
    <s v="CUST_03"/>
    <x v="5"/>
    <s v="Item_15_FUR"/>
    <n v="26"/>
    <n v="9"/>
    <n v="234"/>
    <x v="2"/>
    <x v="1"/>
    <d v="2022-01-14T00:00:00"/>
    <x v="1"/>
  </r>
  <r>
    <s v="TXN_3191741"/>
    <s v="CUST_01"/>
    <x v="0"/>
    <s v="Item_15_PAT"/>
    <n v="26"/>
    <n v="9"/>
    <n v="234"/>
    <x v="0"/>
    <x v="1"/>
    <d v="2024-11-17T00:00:00"/>
    <x v="1"/>
  </r>
  <r>
    <s v="TXN_3096445"/>
    <s v="CUST_17"/>
    <x v="7"/>
    <s v="Item_19_CEA"/>
    <n v="32"/>
    <n v="1"/>
    <n v="32"/>
    <x v="0"/>
    <x v="1"/>
    <d v="2024-06-25T00:00:00"/>
    <x v="1"/>
  </r>
  <r>
    <s v="TXN_8404227"/>
    <s v="CUST_03"/>
    <x v="3"/>
    <s v="Item_2_BEV"/>
    <n v="6.5"/>
    <n v="9"/>
    <n v="58.5"/>
    <x v="0"/>
    <x v="0"/>
    <d v="2023-12-29T00:00:00"/>
    <x v="1"/>
  </r>
  <r>
    <s v="TXN_2374689"/>
    <s v="CUST_19"/>
    <x v="3"/>
    <s v="Item_2_BEV"/>
    <n v="6.5"/>
    <n v="1"/>
    <n v="6.5"/>
    <x v="2"/>
    <x v="1"/>
    <d v="2024-05-21T00:00:00"/>
    <x v="1"/>
  </r>
  <r>
    <s v="TXN_9469962"/>
    <s v="CUST_08"/>
    <x v="3"/>
    <s v="Item_7_BEV"/>
    <n v="8"/>
    <n v="6"/>
    <n v="48"/>
    <x v="2"/>
    <x v="0"/>
    <d v="2024-02-26T00:00:00"/>
    <x v="1"/>
  </r>
  <r>
    <s v="TXN_5072173"/>
    <s v="CUST_23"/>
    <x v="7"/>
    <s v="Item_10_CEA"/>
    <n v="18.5"/>
    <n v="7"/>
    <n v="129.5"/>
    <x v="0"/>
    <x v="0"/>
    <d v="2024-09-21T00:00:00"/>
    <x v="0"/>
  </r>
  <r>
    <s v="TXN_4944574"/>
    <s v="CUST_19"/>
    <x v="0"/>
    <s v="Item_24_PAT"/>
    <n v="39.5"/>
    <n v="6"/>
    <n v="237"/>
    <x v="0"/>
    <x v="0"/>
    <d v="2024-04-11T00:00:00"/>
    <x v="1"/>
  </r>
  <r>
    <s v="TXN_5293933"/>
    <s v="CUST_20"/>
    <x v="7"/>
    <s v="Item_5_CEA"/>
    <n v="11"/>
    <n v="5"/>
    <n v="55"/>
    <x v="2"/>
    <x v="1"/>
    <d v="2022-12-06T00:00:00"/>
    <x v="1"/>
  </r>
  <r>
    <s v="TXN_7801513"/>
    <s v="CUST_01"/>
    <x v="6"/>
    <s v="Item_5_EHE"/>
    <n v="11"/>
    <n v="6"/>
    <n v="66"/>
    <x v="0"/>
    <x v="1"/>
    <d v="2022-09-21T00:00:00"/>
    <x v="0"/>
  </r>
  <r>
    <s v="TXN_8685820"/>
    <s v="CUST_05"/>
    <x v="3"/>
    <s v="Item_1_BEV"/>
    <n v="5"/>
    <n v="10"/>
    <n v="50"/>
    <x v="0"/>
    <x v="0"/>
    <d v="2023-03-23T00:00:00"/>
    <x v="1"/>
  </r>
  <r>
    <s v="TXN_1729525"/>
    <s v="CUST_08"/>
    <x v="3"/>
    <s v="Item_23_BEV"/>
    <n v="38"/>
    <n v="7"/>
    <n v="266"/>
    <x v="0"/>
    <x v="1"/>
    <d v="2022-11-10T00:00:00"/>
    <x v="1"/>
  </r>
  <r>
    <s v="TXN_2593560"/>
    <s v="CUST_07"/>
    <x v="2"/>
    <s v="Item_13_BUT"/>
    <n v="23"/>
    <n v="6"/>
    <n v="138"/>
    <x v="2"/>
    <x v="1"/>
    <d v="2023-07-07T00:00:00"/>
    <x v="0"/>
  </r>
  <r>
    <s v="TXN_6961502"/>
    <s v="CUST_13"/>
    <x v="2"/>
    <s v="Item_17_BUT"/>
    <n v="29"/>
    <n v="1"/>
    <n v="29"/>
    <x v="0"/>
    <x v="1"/>
    <d v="2022-11-09T00:00:00"/>
    <x v="1"/>
  </r>
  <r>
    <s v="TXN_8817119"/>
    <s v="CUST_22"/>
    <x v="2"/>
    <s v="Item_20_BUT"/>
    <n v="33.5"/>
    <n v="5"/>
    <n v="167.5"/>
    <x v="1"/>
    <x v="0"/>
    <d v="2024-04-27T00:00:00"/>
    <x v="0"/>
  </r>
  <r>
    <s v="TXN_4160315"/>
    <s v="CUST_05"/>
    <x v="1"/>
    <s v="Item_19_MILK"/>
    <n v="32"/>
    <n v="9"/>
    <n v="288"/>
    <x v="0"/>
    <x v="0"/>
    <d v="2022-08-20T00:00:00"/>
    <x v="1"/>
  </r>
  <r>
    <s v="TXN_5438923"/>
    <s v="CUST_03"/>
    <x v="1"/>
    <s v="Item_24_MILK"/>
    <n v="39.5"/>
    <n v="4"/>
    <n v="158"/>
    <x v="1"/>
    <x v="0"/>
    <d v="2023-07-21T00:00:00"/>
    <x v="1"/>
  </r>
  <r>
    <s v="TXN_8838958"/>
    <s v="CUST_01"/>
    <x v="7"/>
    <s v="Item_8_CEA"/>
    <n v="15.5"/>
    <n v="1"/>
    <n v="15.5"/>
    <x v="2"/>
    <x v="1"/>
    <d v="2024-11-08T00:00:00"/>
    <x v="1"/>
  </r>
  <r>
    <s v="TXN_5911306"/>
    <s v="CUST_21"/>
    <x v="1"/>
    <s v="Item_24_MILK"/>
    <n v="33.5"/>
    <n v="8"/>
    <n v="268"/>
    <x v="0"/>
    <x v="0"/>
    <d v="2022-10-10T00:00:00"/>
    <x v="0"/>
  </r>
  <r>
    <s v="TXN_8714034"/>
    <s v="CUST_09"/>
    <x v="6"/>
    <s v="Item_6_EHE"/>
    <n v="12.5"/>
    <n v="4"/>
    <n v="50"/>
    <x v="0"/>
    <x v="1"/>
    <d v="2023-01-07T00:00:00"/>
    <x v="0"/>
  </r>
  <r>
    <s v="TXN_5960646"/>
    <s v="CUST_21"/>
    <x v="3"/>
    <s v="Item_3_BEV"/>
    <n v="8"/>
    <n v="8"/>
    <n v="64"/>
    <x v="0"/>
    <x v="0"/>
    <d v="2024-03-18T00:00:00"/>
    <x v="0"/>
  </r>
  <r>
    <s v="TXN_1839621"/>
    <s v="CUST_01"/>
    <x v="2"/>
    <s v="Item_8_BUT"/>
    <n v="15.5"/>
    <n v="1"/>
    <n v="15.5"/>
    <x v="0"/>
    <x v="0"/>
    <d v="2024-04-07T00:00:00"/>
    <x v="0"/>
  </r>
  <r>
    <s v="TXN_5944361"/>
    <s v="CUST_01"/>
    <x v="1"/>
    <s v="Item_19_MILK"/>
    <n v="32"/>
    <n v="4"/>
    <n v="128"/>
    <x v="1"/>
    <x v="1"/>
    <d v="2022-10-10T00:00:00"/>
    <x v="1"/>
  </r>
  <r>
    <s v="TXN_7159417"/>
    <s v="CUST_11"/>
    <x v="4"/>
    <s v="Item_13_FOOD"/>
    <n v="23"/>
    <n v="5"/>
    <n v="115"/>
    <x v="2"/>
    <x v="1"/>
    <d v="2024-03-14T00:00:00"/>
    <x v="1"/>
  </r>
  <r>
    <s v="TXN_3759367"/>
    <s v="CUST_18"/>
    <x v="3"/>
    <s v="Item_19_BEV"/>
    <n v="32"/>
    <n v="1"/>
    <n v="32"/>
    <x v="0"/>
    <x v="1"/>
    <d v="2023-05-07T00:00:00"/>
    <x v="0"/>
  </r>
  <r>
    <s v="TXN_1676564"/>
    <s v="CUST_12"/>
    <x v="5"/>
    <s v="Item_2_FUR"/>
    <n v="6.5"/>
    <n v="6"/>
    <n v="39"/>
    <x v="0"/>
    <x v="0"/>
    <d v="2024-06-18T00:00:00"/>
    <x v="0"/>
  </r>
  <r>
    <s v="TXN_7493896"/>
    <s v="CUST_11"/>
    <x v="6"/>
    <s v="Item_11_EHE"/>
    <n v="20"/>
    <n v="4"/>
    <n v="80"/>
    <x v="2"/>
    <x v="1"/>
    <d v="2024-12-07T00:00:00"/>
    <x v="0"/>
  </r>
  <r>
    <s v="TXN_9279646"/>
    <s v="CUST_08"/>
    <x v="1"/>
    <s v="Item_9_MILK"/>
    <n v="17"/>
    <n v="7"/>
    <n v="119"/>
    <x v="1"/>
    <x v="0"/>
    <d v="2022-10-11T00:00:00"/>
    <x v="1"/>
  </r>
  <r>
    <s v="TXN_2080115"/>
    <s v="CUST_18"/>
    <x v="2"/>
    <s v="Item_24_BUT"/>
    <n v="39.5"/>
    <n v="7"/>
    <n v="276.5"/>
    <x v="2"/>
    <x v="0"/>
    <d v="2024-01-05T00:00:00"/>
    <x v="0"/>
  </r>
  <r>
    <s v="TXN_2634868"/>
    <s v="CUST_13"/>
    <x v="0"/>
    <s v="Item_11_PAT"/>
    <n v="20"/>
    <n v="4"/>
    <n v="80"/>
    <x v="2"/>
    <x v="1"/>
    <d v="2024-06-26T00:00:00"/>
    <x v="1"/>
  </r>
  <r>
    <s v="TXN_9937190"/>
    <s v="CUST_23"/>
    <x v="4"/>
    <s v="Item_13_FOOD"/>
    <n v="23"/>
    <n v="3"/>
    <n v="69"/>
    <x v="0"/>
    <x v="1"/>
    <d v="2023-07-14T00:00:00"/>
    <x v="1"/>
  </r>
  <r>
    <s v="TXN_9222292"/>
    <s v="CUST_15"/>
    <x v="5"/>
    <s v="Item_24_FUR"/>
    <n v="39.5"/>
    <n v="9"/>
    <n v="355.5"/>
    <x v="0"/>
    <x v="1"/>
    <d v="2024-12-25T00:00:00"/>
    <x v="1"/>
  </r>
  <r>
    <s v="TXN_3841425"/>
    <s v="CUST_24"/>
    <x v="1"/>
    <s v="Item_8_MILK"/>
    <n v="15.5"/>
    <n v="6"/>
    <n v="93"/>
    <x v="1"/>
    <x v="1"/>
    <d v="2024-10-01T00:00:00"/>
    <x v="1"/>
  </r>
  <r>
    <s v="TXN_3427896"/>
    <s v="CUST_15"/>
    <x v="0"/>
    <s v="Item_12_PAT"/>
    <n v="21.5"/>
    <n v="3"/>
    <n v="64.5"/>
    <x v="2"/>
    <x v="1"/>
    <d v="2024-12-26T00:00:00"/>
    <x v="1"/>
  </r>
  <r>
    <s v="TXN_7315614"/>
    <s v="CUST_22"/>
    <x v="5"/>
    <s v="Item_15_FUR"/>
    <n v="26"/>
    <n v="10"/>
    <n v="260"/>
    <x v="0"/>
    <x v="1"/>
    <d v="2024-02-10T00:00:00"/>
    <x v="1"/>
  </r>
  <r>
    <s v="TXN_5441868"/>
    <s v="CUST_05"/>
    <x v="5"/>
    <s v="Item_5_FUR"/>
    <n v="11"/>
    <n v="5"/>
    <n v="55"/>
    <x v="0"/>
    <x v="0"/>
    <d v="2022-03-07T00:00:00"/>
    <x v="0"/>
  </r>
  <r>
    <s v="TXN_5275517"/>
    <s v="CUST_10"/>
    <x v="4"/>
    <s v="Item_17_FOOD"/>
    <n v="29"/>
    <n v="8"/>
    <n v="232"/>
    <x v="2"/>
    <x v="0"/>
    <d v="2024-11-29T00:00:00"/>
    <x v="0"/>
  </r>
  <r>
    <s v="TXN_6260961"/>
    <s v="CUST_16"/>
    <x v="6"/>
    <s v="Item_25_EHE"/>
    <n v="41"/>
    <n v="1"/>
    <n v="41"/>
    <x v="2"/>
    <x v="1"/>
    <d v="2024-10-25T00:00:00"/>
    <x v="0"/>
  </r>
  <r>
    <s v="TXN_2139409"/>
    <s v="CUST_23"/>
    <x v="4"/>
    <s v="Item_13_FOOD"/>
    <n v="23"/>
    <n v="9"/>
    <n v="207"/>
    <x v="0"/>
    <x v="0"/>
    <d v="2022-05-21T00:00:00"/>
    <x v="0"/>
  </r>
  <r>
    <s v="TXN_5343433"/>
    <s v="CUST_20"/>
    <x v="7"/>
    <s v="Item_19_CEA"/>
    <n v="32"/>
    <n v="7"/>
    <n v="224"/>
    <x v="1"/>
    <x v="0"/>
    <d v="2022-12-11T00:00:00"/>
    <x v="0"/>
  </r>
  <r>
    <s v="TXN_7425133"/>
    <s v="CUST_03"/>
    <x v="0"/>
    <s v="Item_20_PAT"/>
    <n v="33.5"/>
    <n v="10"/>
    <n v="335"/>
    <x v="2"/>
    <x v="1"/>
    <d v="2024-05-21T00:00:00"/>
    <x v="1"/>
  </r>
  <r>
    <s v="TXN_8793391"/>
    <s v="CUST_16"/>
    <x v="3"/>
    <s v="Item_2_BEV"/>
    <n v="6.5"/>
    <n v="8"/>
    <n v="52"/>
    <x v="1"/>
    <x v="0"/>
    <d v="2024-04-14T00:00:00"/>
    <x v="0"/>
  </r>
  <r>
    <s v="TXN_5940844"/>
    <s v="CUST_23"/>
    <x v="3"/>
    <s v="Item_19_BEV"/>
    <n v="32"/>
    <n v="2"/>
    <n v="64"/>
    <x v="1"/>
    <x v="1"/>
    <d v="2023-09-12T00:00:00"/>
    <x v="0"/>
  </r>
  <r>
    <s v="TXN_3357122"/>
    <s v="CUST_05"/>
    <x v="2"/>
    <s v="Item_22_BUT"/>
    <n v="36.5"/>
    <n v="2"/>
    <n v="73"/>
    <x v="1"/>
    <x v="0"/>
    <d v="2024-02-19T00:00:00"/>
    <x v="1"/>
  </r>
  <r>
    <s v="TXN_8846811"/>
    <s v="CUST_21"/>
    <x v="2"/>
    <s v="Item_21_BUT"/>
    <n v="35"/>
    <n v="1"/>
    <n v="35"/>
    <x v="0"/>
    <x v="0"/>
    <d v="2022-09-06T00:00:00"/>
    <x v="1"/>
  </r>
  <r>
    <s v="TXN_6576457"/>
    <s v="CUST_19"/>
    <x v="0"/>
    <s v="Item_9_PAT"/>
    <n v="17"/>
    <n v="10"/>
    <n v="170"/>
    <x v="1"/>
    <x v="1"/>
    <d v="2022-03-17T00:00:00"/>
    <x v="0"/>
  </r>
  <r>
    <s v="TXN_4581475"/>
    <s v="CUST_17"/>
    <x v="7"/>
    <s v="Item_11_CEA"/>
    <n v="20"/>
    <n v="6"/>
    <n v="120"/>
    <x v="1"/>
    <x v="1"/>
    <d v="2023-06-16T00:00:00"/>
    <x v="0"/>
  </r>
  <r>
    <s v="TXN_6582130"/>
    <s v="CUST_03"/>
    <x v="6"/>
    <s v="Item_13_EHE"/>
    <n v="23"/>
    <n v="9"/>
    <n v="207"/>
    <x v="0"/>
    <x v="0"/>
    <d v="2024-12-25T00:00:00"/>
    <x v="1"/>
  </r>
  <r>
    <s v="TXN_2910621"/>
    <s v="CUST_02"/>
    <x v="3"/>
    <s v="Item_10_BEV"/>
    <n v="18.5"/>
    <n v="10"/>
    <n v="185"/>
    <x v="0"/>
    <x v="1"/>
    <d v="2023-03-05T00:00:00"/>
    <x v="1"/>
  </r>
  <r>
    <s v="TXN_9627402"/>
    <s v="CUST_04"/>
    <x v="2"/>
    <s v="Item_3_BUT"/>
    <n v="8"/>
    <n v="10"/>
    <n v="80"/>
    <x v="2"/>
    <x v="0"/>
    <d v="2022-02-23T00:00:00"/>
    <x v="1"/>
  </r>
  <r>
    <s v="TXN_6676210"/>
    <s v="CUST_02"/>
    <x v="7"/>
    <s v="Item_17_CEA"/>
    <n v="29"/>
    <n v="8"/>
    <n v="232"/>
    <x v="0"/>
    <x v="0"/>
    <d v="2023-11-27T00:00:00"/>
    <x v="0"/>
  </r>
  <r>
    <s v="TXN_5351535"/>
    <s v="CUST_23"/>
    <x v="0"/>
    <s v="Item_25_PAT"/>
    <n v="41"/>
    <n v="8"/>
    <n v="328"/>
    <x v="2"/>
    <x v="1"/>
    <d v="2024-10-15T00:00:00"/>
    <x v="0"/>
  </r>
  <r>
    <s v="TXN_4435938"/>
    <s v="CUST_05"/>
    <x v="6"/>
    <s v="Item_13_EHE"/>
    <n v="23"/>
    <n v="4"/>
    <n v="92"/>
    <x v="1"/>
    <x v="1"/>
    <d v="2023-08-06T00:00:00"/>
    <x v="1"/>
  </r>
  <r>
    <s v="TXN_4181012"/>
    <s v="CUST_21"/>
    <x v="0"/>
    <s v="Item_8_PAT"/>
    <n v="15.5"/>
    <n v="6"/>
    <n v="93"/>
    <x v="2"/>
    <x v="0"/>
    <d v="2024-06-24T00:00:00"/>
    <x v="0"/>
  </r>
  <r>
    <s v="TXN_1475212"/>
    <s v="CUST_11"/>
    <x v="3"/>
    <s v="Item_11_BEV"/>
    <n v="20"/>
    <n v="6"/>
    <n v="120"/>
    <x v="2"/>
    <x v="0"/>
    <d v="2023-10-14T00:00:00"/>
    <x v="0"/>
  </r>
  <r>
    <s v="TXN_9755626"/>
    <s v="CUST_25"/>
    <x v="0"/>
    <s v="Item_11_PAT"/>
    <n v="20"/>
    <n v="3"/>
    <n v="60"/>
    <x v="0"/>
    <x v="0"/>
    <d v="2023-01-31T00:00:00"/>
    <x v="1"/>
  </r>
  <r>
    <s v="TXN_3842430"/>
    <s v="CUST_19"/>
    <x v="4"/>
    <s v="Item_18_FOOD"/>
    <n v="30.5"/>
    <n v="8"/>
    <n v="244"/>
    <x v="1"/>
    <x v="1"/>
    <d v="2023-03-04T00:00:00"/>
    <x v="0"/>
  </r>
  <r>
    <s v="TXN_1102128"/>
    <s v="CUST_22"/>
    <x v="5"/>
    <s v="Item_5_FUR"/>
    <n v="11"/>
    <n v="3"/>
    <n v="33"/>
    <x v="1"/>
    <x v="1"/>
    <d v="2024-05-01T00:00:00"/>
    <x v="1"/>
  </r>
  <r>
    <s v="TXN_4351153"/>
    <s v="CUST_21"/>
    <x v="4"/>
    <s v="Item_11_FOOD"/>
    <n v="17"/>
    <n v="1"/>
    <n v="17"/>
    <x v="2"/>
    <x v="1"/>
    <d v="2024-12-07T00:00:00"/>
    <x v="1"/>
  </r>
  <r>
    <s v="TXN_5823559"/>
    <s v="CUST_14"/>
    <x v="5"/>
    <s v="Item_24_FUR"/>
    <n v="39.5"/>
    <n v="1"/>
    <n v="39.5"/>
    <x v="0"/>
    <x v="1"/>
    <d v="2024-01-17T00:00:00"/>
    <x v="1"/>
  </r>
  <r>
    <s v="TXN_6830801"/>
    <s v="CUST_14"/>
    <x v="1"/>
    <s v="Item_6_MILK"/>
    <n v="12.5"/>
    <n v="3"/>
    <n v="37.5"/>
    <x v="1"/>
    <x v="1"/>
    <d v="2022-05-20T00:00:00"/>
    <x v="1"/>
  </r>
  <r>
    <s v="TXN_7480229"/>
    <s v="CUST_06"/>
    <x v="5"/>
    <s v="Item_24_FUR"/>
    <n v="39.5"/>
    <n v="6"/>
    <n v="237"/>
    <x v="1"/>
    <x v="1"/>
    <d v="2022-01-22T00:00:00"/>
    <x v="0"/>
  </r>
  <r>
    <s v="TXN_9970141"/>
    <s v="CUST_10"/>
    <x v="6"/>
    <s v="Item_1_EHE"/>
    <n v="5"/>
    <n v="3"/>
    <n v="15"/>
    <x v="2"/>
    <x v="1"/>
    <d v="2023-07-03T00:00:00"/>
    <x v="1"/>
  </r>
  <r>
    <s v="TXN_1841098"/>
    <s v="CUST_11"/>
    <x v="4"/>
    <s v="Item_20_FOOD"/>
    <n v="33.5"/>
    <n v="2"/>
    <n v="67"/>
    <x v="2"/>
    <x v="1"/>
    <d v="2023-10-22T00:00:00"/>
    <x v="1"/>
  </r>
  <r>
    <s v="TXN_4374445"/>
    <s v="CUST_12"/>
    <x v="4"/>
    <s v="Item_25_FOOD"/>
    <n v="41"/>
    <n v="10"/>
    <n v="410"/>
    <x v="0"/>
    <x v="0"/>
    <d v="2024-10-17T00:00:00"/>
    <x v="1"/>
  </r>
  <r>
    <s v="TXN_2496138"/>
    <s v="CUST_22"/>
    <x v="4"/>
    <s v="Item_11_FOOD"/>
    <n v="11"/>
    <n v="1"/>
    <n v="11"/>
    <x v="2"/>
    <x v="0"/>
    <d v="2023-10-04T00:00:00"/>
    <x v="1"/>
  </r>
  <r>
    <s v="TXN_9041908"/>
    <s v="CUST_22"/>
    <x v="6"/>
    <s v="Item_25_EHE"/>
    <n v="41"/>
    <n v="8"/>
    <n v="328"/>
    <x v="2"/>
    <x v="0"/>
    <d v="2022-06-22T00:00:00"/>
    <x v="0"/>
  </r>
  <r>
    <s v="TXN_6035994"/>
    <s v="CUST_15"/>
    <x v="3"/>
    <s v="Item_6_BEV"/>
    <n v="12.5"/>
    <n v="8"/>
    <n v="100"/>
    <x v="1"/>
    <x v="1"/>
    <d v="2024-10-30T00:00:00"/>
    <x v="0"/>
  </r>
  <r>
    <s v="TXN_3834320"/>
    <s v="CUST_18"/>
    <x v="3"/>
    <s v="Item_14_BEV"/>
    <n v="24.5"/>
    <n v="1"/>
    <n v="24.5"/>
    <x v="2"/>
    <x v="1"/>
    <d v="2022-11-08T00:00:00"/>
    <x v="0"/>
  </r>
  <r>
    <s v="TXN_3456177"/>
    <s v="CUST_01"/>
    <x v="2"/>
    <s v="Item_13_BUT"/>
    <n v="23"/>
    <n v="3"/>
    <n v="69"/>
    <x v="1"/>
    <x v="0"/>
    <d v="2023-06-23T00:00:00"/>
    <x v="0"/>
  </r>
  <r>
    <s v="TXN_6615809"/>
    <s v="CUST_20"/>
    <x v="7"/>
    <s v="Item_8_CEA"/>
    <n v="15.5"/>
    <n v="1"/>
    <n v="15.5"/>
    <x v="1"/>
    <x v="1"/>
    <d v="2023-06-22T00:00:00"/>
    <x v="0"/>
  </r>
  <r>
    <s v="TXN_9583800"/>
    <s v="CUST_17"/>
    <x v="6"/>
    <s v="Item_12_EHE"/>
    <n v="21.5"/>
    <n v="2"/>
    <n v="43"/>
    <x v="2"/>
    <x v="0"/>
    <d v="2023-09-18T00:00:00"/>
    <x v="0"/>
  </r>
  <r>
    <s v="TXN_8870473"/>
    <s v="CUST_17"/>
    <x v="1"/>
    <s v="Item_13_MILK"/>
    <n v="23"/>
    <n v="1"/>
    <n v="23"/>
    <x v="1"/>
    <x v="1"/>
    <d v="2023-05-29T00:00:00"/>
    <x v="1"/>
  </r>
  <r>
    <s v="TXN_9933625"/>
    <s v="CUST_25"/>
    <x v="0"/>
    <s v="Item_20_PAT"/>
    <n v="33.5"/>
    <n v="8"/>
    <n v="268"/>
    <x v="2"/>
    <x v="0"/>
    <d v="2022-11-02T00:00:00"/>
    <x v="0"/>
  </r>
  <r>
    <s v="TXN_3668440"/>
    <s v="CUST_21"/>
    <x v="2"/>
    <s v="Item_3_BUT"/>
    <n v="8"/>
    <n v="2"/>
    <n v="16"/>
    <x v="2"/>
    <x v="1"/>
    <d v="2022-01-18T00:00:00"/>
    <x v="0"/>
  </r>
  <r>
    <s v="TXN_4255841"/>
    <s v="CUST_21"/>
    <x v="7"/>
    <s v="Item_22_CEA"/>
    <n v="36.5"/>
    <n v="9"/>
    <n v="328.5"/>
    <x v="1"/>
    <x v="0"/>
    <d v="2023-08-12T00:00:00"/>
    <x v="1"/>
  </r>
  <r>
    <s v="TXN_1795154"/>
    <s v="CUST_23"/>
    <x v="7"/>
    <s v="Item_10_CEA"/>
    <n v="18.5"/>
    <n v="7"/>
    <n v="129.5"/>
    <x v="0"/>
    <x v="1"/>
    <d v="2023-06-14T00:00:00"/>
    <x v="0"/>
  </r>
  <r>
    <s v="TXN_3717384"/>
    <s v="CUST_01"/>
    <x v="4"/>
    <s v="Item_14_FOOD"/>
    <n v="24.5"/>
    <n v="6"/>
    <n v="147"/>
    <x v="2"/>
    <x v="1"/>
    <d v="2023-05-11T00:00:00"/>
    <x v="1"/>
  </r>
  <r>
    <s v="TXN_9616213"/>
    <s v="CUST_23"/>
    <x v="5"/>
    <s v="Item_24_FUR"/>
    <n v="39.5"/>
    <n v="3"/>
    <n v="118.5"/>
    <x v="1"/>
    <x v="0"/>
    <d v="2023-03-11T00:00:00"/>
    <x v="0"/>
  </r>
  <r>
    <s v="TXN_7043807"/>
    <s v="CUST_24"/>
    <x v="5"/>
    <s v="Item_24_FUR"/>
    <n v="26"/>
    <n v="7"/>
    <n v="182"/>
    <x v="0"/>
    <x v="1"/>
    <d v="2022-02-07T00:00:00"/>
    <x v="0"/>
  </r>
  <r>
    <s v="TXN_6728454"/>
    <s v="CUST_08"/>
    <x v="1"/>
    <s v="Item_24_MILK"/>
    <n v="32"/>
    <n v="3"/>
    <n v="118.5"/>
    <x v="1"/>
    <x v="0"/>
    <d v="2023-10-17T00:00:00"/>
    <x v="0"/>
  </r>
  <r>
    <s v="TXN_4322217"/>
    <s v="CUST_21"/>
    <x v="7"/>
    <s v="Item_18_CEA"/>
    <n v="30.5"/>
    <n v="2"/>
    <n v="61"/>
    <x v="0"/>
    <x v="1"/>
    <d v="2024-11-23T00:00:00"/>
    <x v="0"/>
  </r>
  <r>
    <s v="TXN_2151215"/>
    <s v="CUST_02"/>
    <x v="2"/>
    <s v="Item_5_BUT"/>
    <n v="11"/>
    <n v="4"/>
    <n v="44"/>
    <x v="2"/>
    <x v="1"/>
    <d v="2023-11-24T00:00:00"/>
    <x v="1"/>
  </r>
  <r>
    <s v="TXN_9987791"/>
    <s v="CUST_08"/>
    <x v="1"/>
    <s v="Item_22_MILK"/>
    <n v="36.5"/>
    <n v="2"/>
    <n v="73"/>
    <x v="0"/>
    <x v="1"/>
    <d v="2022-10-07T00:00:00"/>
    <x v="0"/>
  </r>
  <r>
    <s v="TXN_2540564"/>
    <s v="CUST_24"/>
    <x v="7"/>
    <s v="Item_5_CEA"/>
    <n v="11"/>
    <n v="1"/>
    <n v="11"/>
    <x v="2"/>
    <x v="0"/>
    <d v="2023-08-18T00:00:00"/>
    <x v="0"/>
  </r>
  <r>
    <s v="TXN_9659532"/>
    <s v="CUST_21"/>
    <x v="5"/>
    <s v="Item_4_FUR"/>
    <n v="9.5"/>
    <n v="8"/>
    <n v="76"/>
    <x v="2"/>
    <x v="1"/>
    <d v="2023-01-08T00:00:00"/>
    <x v="0"/>
  </r>
  <r>
    <s v="TXN_1783309"/>
    <s v="CUST_08"/>
    <x v="0"/>
    <s v="Item_15_PAT"/>
    <n v="26"/>
    <n v="9"/>
    <n v="234"/>
    <x v="1"/>
    <x v="0"/>
    <d v="2023-01-17T00:00:00"/>
    <x v="0"/>
  </r>
  <r>
    <s v="TXN_6908704"/>
    <s v="CUST_16"/>
    <x v="6"/>
    <s v="Item_15_EHE"/>
    <n v="26"/>
    <n v="1"/>
    <n v="26"/>
    <x v="0"/>
    <x v="1"/>
    <d v="2024-02-04T00:00:00"/>
    <x v="0"/>
  </r>
  <r>
    <s v="TXN_6596970"/>
    <s v="CUST_25"/>
    <x v="4"/>
    <s v="Item_12_FOOD"/>
    <n v="21.5"/>
    <n v="6"/>
    <n v="129"/>
    <x v="1"/>
    <x v="1"/>
    <d v="2023-10-29T00:00:00"/>
    <x v="0"/>
  </r>
  <r>
    <s v="TXN_1742336"/>
    <s v="CUST_08"/>
    <x v="0"/>
    <s v="Item_13_PAT"/>
    <n v="23"/>
    <n v="4"/>
    <n v="92"/>
    <x v="1"/>
    <x v="0"/>
    <d v="2022-03-08T00:00:00"/>
    <x v="1"/>
  </r>
  <r>
    <s v="TXN_7738273"/>
    <s v="CUST_06"/>
    <x v="3"/>
    <s v="Item_3_BEV"/>
    <n v="8"/>
    <n v="9"/>
    <n v="72"/>
    <x v="2"/>
    <x v="0"/>
    <d v="2024-03-23T00:00:00"/>
    <x v="0"/>
  </r>
  <r>
    <s v="TXN_2232768"/>
    <s v="CUST_02"/>
    <x v="4"/>
    <s v="Item_20_FOOD"/>
    <n v="33.5"/>
    <n v="9"/>
    <n v="301.5"/>
    <x v="0"/>
    <x v="1"/>
    <d v="2024-09-29T00:00:00"/>
    <x v="1"/>
  </r>
  <r>
    <s v="TXN_4863238"/>
    <s v="CUST_13"/>
    <x v="4"/>
    <s v="Item_11_FOOD"/>
    <n v="20"/>
    <n v="4"/>
    <n v="80"/>
    <x v="1"/>
    <x v="1"/>
    <d v="2022-11-16T00:00:00"/>
    <x v="0"/>
  </r>
  <r>
    <s v="TXN_9409545"/>
    <s v="CUST_05"/>
    <x v="6"/>
    <s v="Item_22_EHE"/>
    <n v="36.5"/>
    <n v="7"/>
    <n v="255.5"/>
    <x v="1"/>
    <x v="0"/>
    <d v="2022-02-24T00:00:00"/>
    <x v="0"/>
  </r>
  <r>
    <s v="TXN_5426614"/>
    <s v="CUST_19"/>
    <x v="1"/>
    <s v="Item_15_MILK"/>
    <n v="26"/>
    <n v="7"/>
    <n v="182"/>
    <x v="0"/>
    <x v="0"/>
    <d v="2022-08-06T00:00:00"/>
    <x v="0"/>
  </r>
  <r>
    <s v="TXN_1712455"/>
    <s v="CUST_25"/>
    <x v="2"/>
    <s v="Item_5_BUT"/>
    <n v="11"/>
    <n v="9"/>
    <n v="99"/>
    <x v="1"/>
    <x v="1"/>
    <d v="2024-03-11T00:00:00"/>
    <x v="0"/>
  </r>
  <r>
    <s v="TXN_7017598"/>
    <s v="CUST_04"/>
    <x v="0"/>
    <s v="Item_4_PAT"/>
    <n v="9.5"/>
    <n v="6"/>
    <n v="57"/>
    <x v="1"/>
    <x v="0"/>
    <d v="2023-06-07T00:00:00"/>
    <x v="0"/>
  </r>
  <r>
    <s v="TXN_7222601"/>
    <s v="CUST_18"/>
    <x v="6"/>
    <s v="Item_12_EHE"/>
    <n v="21.5"/>
    <n v="2"/>
    <n v="43"/>
    <x v="2"/>
    <x v="0"/>
    <d v="2022-09-10T00:00:00"/>
    <x v="1"/>
  </r>
  <r>
    <s v="TXN_7864933"/>
    <s v="CUST_24"/>
    <x v="3"/>
    <s v="Item_17_BEV"/>
    <n v="29"/>
    <n v="1"/>
    <n v="29"/>
    <x v="2"/>
    <x v="1"/>
    <d v="2022-11-29T00:00:00"/>
    <x v="0"/>
  </r>
  <r>
    <s v="TXN_7383288"/>
    <s v="CUST_10"/>
    <x v="1"/>
    <s v="Item_15_MILK"/>
    <n v="26"/>
    <n v="7"/>
    <n v="182"/>
    <x v="0"/>
    <x v="1"/>
    <d v="2022-08-12T00:00:00"/>
    <x v="0"/>
  </r>
  <r>
    <s v="TXN_8228155"/>
    <s v="CUST_17"/>
    <x v="2"/>
    <s v="Item_13_BUT"/>
    <n v="23"/>
    <n v="5"/>
    <n v="115"/>
    <x v="1"/>
    <x v="0"/>
    <d v="2022-08-19T00:00:00"/>
    <x v="0"/>
  </r>
  <r>
    <s v="TXN_9564689"/>
    <s v="CUST_18"/>
    <x v="0"/>
    <s v="Item_14_PAT"/>
    <n v="24.5"/>
    <n v="4"/>
    <n v="98"/>
    <x v="2"/>
    <x v="0"/>
    <d v="2022-04-06T00:00:00"/>
    <x v="0"/>
  </r>
  <r>
    <s v="TXN_8504691"/>
    <s v="CUST_08"/>
    <x v="1"/>
    <s v="Item_1_MILK"/>
    <n v="5"/>
    <n v="1"/>
    <n v="5"/>
    <x v="1"/>
    <x v="0"/>
    <d v="2023-12-21T00:00:00"/>
    <x v="0"/>
  </r>
  <r>
    <s v="TXN_7177109"/>
    <s v="CUST_05"/>
    <x v="5"/>
    <s v="Item_14_FUR"/>
    <n v="24.5"/>
    <n v="4"/>
    <n v="98"/>
    <x v="2"/>
    <x v="1"/>
    <d v="2023-06-12T00:00:00"/>
    <x v="0"/>
  </r>
  <r>
    <s v="TXN_9440172"/>
    <s v="CUST_20"/>
    <x v="3"/>
    <s v="Item_25_BEV"/>
    <n v="41"/>
    <n v="9"/>
    <n v="369"/>
    <x v="1"/>
    <x v="1"/>
    <d v="2023-10-25T00:00:00"/>
    <x v="1"/>
  </r>
  <r>
    <s v="TXN_7436006"/>
    <s v="CUST_16"/>
    <x v="0"/>
    <s v="Item_8_PAT"/>
    <n v="15.5"/>
    <n v="7"/>
    <n v="108.5"/>
    <x v="2"/>
    <x v="1"/>
    <d v="2023-07-25T00:00:00"/>
    <x v="0"/>
  </r>
  <r>
    <s v="TXN_3673808"/>
    <s v="CUST_23"/>
    <x v="0"/>
    <s v="Item_19_PAT"/>
    <n v="32"/>
    <n v="10"/>
    <n v="320"/>
    <x v="0"/>
    <x v="1"/>
    <d v="2023-11-18T00:00:00"/>
    <x v="0"/>
  </r>
  <r>
    <s v="TXN_1386646"/>
    <s v="CUST_24"/>
    <x v="0"/>
    <s v="Item_11_PAT"/>
    <n v="20"/>
    <n v="6"/>
    <n v="120"/>
    <x v="0"/>
    <x v="0"/>
    <d v="2022-12-07T00:00:00"/>
    <x v="0"/>
  </r>
  <r>
    <s v="TXN_3840387"/>
    <s v="CUST_19"/>
    <x v="3"/>
    <s v="Item_7_BEV"/>
    <n v="14"/>
    <n v="5"/>
    <n v="70"/>
    <x v="2"/>
    <x v="1"/>
    <d v="2024-12-29T00:00:00"/>
    <x v="0"/>
  </r>
  <r>
    <s v="TXN_5434897"/>
    <s v="CUST_25"/>
    <x v="2"/>
    <s v="Item_23_BUT"/>
    <n v="38"/>
    <n v="1"/>
    <n v="38"/>
    <x v="2"/>
    <x v="1"/>
    <d v="2023-03-21T00:00:00"/>
    <x v="1"/>
  </r>
  <r>
    <s v="TXN_2218629"/>
    <s v="CUST_10"/>
    <x v="7"/>
    <s v="Item_19_CEA"/>
    <n v="32"/>
    <n v="3"/>
    <n v="96"/>
    <x v="1"/>
    <x v="0"/>
    <d v="2022-03-21T00:00:00"/>
    <x v="1"/>
  </r>
  <r>
    <s v="TXN_9352178"/>
    <s v="CUST_24"/>
    <x v="0"/>
    <s v="Item_2_PAT"/>
    <n v="6.5"/>
    <n v="8"/>
    <n v="52"/>
    <x v="0"/>
    <x v="1"/>
    <d v="2023-03-24T00:00:00"/>
    <x v="0"/>
  </r>
  <r>
    <s v="TXN_9978418"/>
    <s v="CUST_10"/>
    <x v="2"/>
    <s v="Item_14_BUT"/>
    <n v="24.5"/>
    <n v="5"/>
    <n v="122.5"/>
    <x v="0"/>
    <x v="0"/>
    <d v="2024-02-24T00:00:00"/>
    <x v="1"/>
  </r>
  <r>
    <s v="TXN_6660687"/>
    <s v="CUST_02"/>
    <x v="5"/>
    <s v="Item_17_FUR"/>
    <n v="29"/>
    <n v="9"/>
    <n v="261"/>
    <x v="0"/>
    <x v="0"/>
    <d v="2024-12-27T00:00:00"/>
    <x v="1"/>
  </r>
  <r>
    <s v="TXN_8348586"/>
    <s v="CUST_03"/>
    <x v="6"/>
    <s v="Item_16_EHE"/>
    <n v="27.5"/>
    <n v="8"/>
    <n v="220"/>
    <x v="1"/>
    <x v="0"/>
    <d v="2022-08-12T00:00:00"/>
    <x v="0"/>
  </r>
  <r>
    <s v="TXN_7647224"/>
    <s v="CUST_13"/>
    <x v="1"/>
    <s v="Item_1_MILK"/>
    <n v="5"/>
    <n v="7"/>
    <n v="35"/>
    <x v="1"/>
    <x v="1"/>
    <d v="2022-03-19T00:00:00"/>
    <x v="0"/>
  </r>
  <r>
    <s v="TXN_2676761"/>
    <s v="CUST_15"/>
    <x v="6"/>
    <s v="Item_17_EHE"/>
    <n v="29"/>
    <n v="9"/>
    <n v="261"/>
    <x v="0"/>
    <x v="1"/>
    <d v="2024-04-03T00:00:00"/>
    <x v="0"/>
  </r>
  <r>
    <s v="TXN_1409260"/>
    <s v="CUST_08"/>
    <x v="6"/>
    <s v="Item_8_EHE"/>
    <n v="15.5"/>
    <n v="1"/>
    <n v="15.5"/>
    <x v="1"/>
    <x v="1"/>
    <d v="2022-09-21T00:00:00"/>
    <x v="0"/>
  </r>
  <r>
    <s v="TXN_9671345"/>
    <s v="CUST_21"/>
    <x v="5"/>
    <s v="Item_20_FUR"/>
    <n v="33.5"/>
    <n v="2"/>
    <n v="67"/>
    <x v="2"/>
    <x v="0"/>
    <d v="2022-09-13T00:00:00"/>
    <x v="1"/>
  </r>
  <r>
    <s v="TXN_6893703"/>
    <s v="CUST_13"/>
    <x v="0"/>
    <s v="Item_13_PAT"/>
    <n v="23"/>
    <n v="1"/>
    <n v="23"/>
    <x v="1"/>
    <x v="1"/>
    <d v="2023-09-03T00:00:00"/>
    <x v="0"/>
  </r>
  <r>
    <s v="TXN_5744111"/>
    <s v="CUST_13"/>
    <x v="3"/>
    <s v="Item_3_BEV"/>
    <n v="8"/>
    <n v="3"/>
    <n v="24"/>
    <x v="1"/>
    <x v="0"/>
    <d v="2024-08-21T00:00:00"/>
    <x v="0"/>
  </r>
  <r>
    <s v="TXN_5224257"/>
    <s v="CUST_08"/>
    <x v="2"/>
    <s v="Item_6_BUT"/>
    <n v="12.5"/>
    <n v="9"/>
    <n v="112.5"/>
    <x v="2"/>
    <x v="0"/>
    <d v="2022-08-13T00:00:00"/>
    <x v="1"/>
  </r>
  <r>
    <s v="TXN_5319794"/>
    <s v="CUST_01"/>
    <x v="3"/>
    <s v="Item_16_BEV"/>
    <n v="27.5"/>
    <n v="10"/>
    <n v="275"/>
    <x v="1"/>
    <x v="0"/>
    <d v="2023-05-01T00:00:00"/>
    <x v="0"/>
  </r>
  <r>
    <s v="TXN_7326092"/>
    <s v="CUST_01"/>
    <x v="2"/>
    <s v="Item_23_BUT"/>
    <n v="38"/>
    <n v="5"/>
    <n v="190"/>
    <x v="1"/>
    <x v="0"/>
    <d v="2023-09-19T00:00:00"/>
    <x v="1"/>
  </r>
  <r>
    <s v="TXN_3342497"/>
    <s v="CUST_18"/>
    <x v="0"/>
    <s v="Item_9_PAT"/>
    <n v="17"/>
    <n v="4"/>
    <n v="68"/>
    <x v="1"/>
    <x v="1"/>
    <d v="2023-07-03T00:00:00"/>
    <x v="0"/>
  </r>
  <r>
    <s v="TXN_7235181"/>
    <s v="CUST_22"/>
    <x v="1"/>
    <s v="Item_3_MILK"/>
    <n v="8"/>
    <n v="8"/>
    <n v="64"/>
    <x v="0"/>
    <x v="0"/>
    <d v="2023-12-13T00:00:00"/>
    <x v="0"/>
  </r>
  <r>
    <s v="TXN_4657560"/>
    <s v="CUST_06"/>
    <x v="0"/>
    <s v="Item_22_PAT"/>
    <n v="36.5"/>
    <n v="5"/>
    <n v="182.5"/>
    <x v="0"/>
    <x v="1"/>
    <d v="2022-10-18T00:00:00"/>
    <x v="0"/>
  </r>
  <r>
    <s v="TXN_4570770"/>
    <s v="CUST_12"/>
    <x v="6"/>
    <s v="Item_11_EHE"/>
    <n v="20"/>
    <n v="3"/>
    <n v="60"/>
    <x v="1"/>
    <x v="1"/>
    <d v="2023-04-29T00:00:00"/>
    <x v="0"/>
  </r>
  <r>
    <s v="TXN_6810161"/>
    <s v="CUST_17"/>
    <x v="4"/>
    <s v="Item_11_FOOD"/>
    <n v="20"/>
    <n v="3"/>
    <n v="60"/>
    <x v="2"/>
    <x v="0"/>
    <d v="2024-05-05T00:00:00"/>
    <x v="1"/>
  </r>
  <r>
    <s v="TXN_1544024"/>
    <s v="CUST_20"/>
    <x v="0"/>
    <s v="Item_17_PAT"/>
    <n v="29"/>
    <n v="8"/>
    <n v="232"/>
    <x v="2"/>
    <x v="0"/>
    <d v="2024-11-16T00:00:00"/>
    <x v="0"/>
  </r>
  <r>
    <s v="TXN_3107156"/>
    <s v="CUST_02"/>
    <x v="7"/>
    <s v="Item_24_CEA"/>
    <n v="39.5"/>
    <n v="8"/>
    <n v="316"/>
    <x v="2"/>
    <x v="0"/>
    <d v="2024-12-23T00:00:00"/>
    <x v="0"/>
  </r>
  <r>
    <s v="TXN_2540525"/>
    <s v="CUST_03"/>
    <x v="7"/>
    <s v="Item_22_CEA"/>
    <n v="36.5"/>
    <n v="2"/>
    <n v="73"/>
    <x v="2"/>
    <x v="1"/>
    <d v="2023-04-29T00:00:00"/>
    <x v="1"/>
  </r>
  <r>
    <s v="TXN_7595380"/>
    <s v="CUST_06"/>
    <x v="5"/>
    <s v="Item_9_FUR"/>
    <n v="17"/>
    <n v="4"/>
    <n v="68"/>
    <x v="2"/>
    <x v="1"/>
    <d v="2022-11-13T00:00:00"/>
    <x v="1"/>
  </r>
  <r>
    <s v="TXN_9778912"/>
    <s v="CUST_14"/>
    <x v="6"/>
    <s v="Item_21_EHE"/>
    <n v="35"/>
    <n v="8"/>
    <n v="280"/>
    <x v="1"/>
    <x v="0"/>
    <d v="2024-08-27T00:00:00"/>
    <x v="1"/>
  </r>
  <r>
    <s v="TXN_2771813"/>
    <s v="CUST_17"/>
    <x v="6"/>
    <s v="Item_25_EHE"/>
    <n v="41"/>
    <n v="1"/>
    <n v="41"/>
    <x v="0"/>
    <x v="0"/>
    <d v="2022-06-10T00:00:00"/>
    <x v="0"/>
  </r>
  <r>
    <s v="TXN_2461753"/>
    <s v="CUST_12"/>
    <x v="7"/>
    <s v="Item_19_CEA"/>
    <n v="32"/>
    <n v="10"/>
    <n v="320"/>
    <x v="2"/>
    <x v="0"/>
    <d v="2022-10-18T00:00:00"/>
    <x v="0"/>
  </r>
  <r>
    <s v="TXN_9228328"/>
    <s v="CUST_05"/>
    <x v="5"/>
    <s v="Item_20_FUR"/>
    <n v="33.5"/>
    <n v="1"/>
    <n v="33.5"/>
    <x v="0"/>
    <x v="1"/>
    <d v="2022-09-29T00:00:00"/>
    <x v="1"/>
  </r>
  <r>
    <s v="TXN_8148435"/>
    <s v="CUST_24"/>
    <x v="6"/>
    <s v="Item_23_EHE"/>
    <n v="38"/>
    <n v="6"/>
    <n v="228"/>
    <x v="1"/>
    <x v="0"/>
    <d v="2024-01-20T00:00:00"/>
    <x v="0"/>
  </r>
  <r>
    <s v="TXN_9014066"/>
    <s v="CUST_01"/>
    <x v="2"/>
    <s v="Item_12_BUT"/>
    <n v="21.5"/>
    <n v="3"/>
    <n v="64.5"/>
    <x v="0"/>
    <x v="0"/>
    <d v="2022-11-20T00:00:00"/>
    <x v="0"/>
  </r>
  <r>
    <s v="TXN_3864156"/>
    <s v="CUST_10"/>
    <x v="2"/>
    <s v="Item_12_BUT"/>
    <n v="21.5"/>
    <n v="8"/>
    <n v="172"/>
    <x v="1"/>
    <x v="1"/>
    <d v="2023-05-25T00:00:00"/>
    <x v="0"/>
  </r>
  <r>
    <s v="TXN_1325795"/>
    <s v="CUST_10"/>
    <x v="7"/>
    <s v="Item_14_CEA"/>
    <n v="24.5"/>
    <n v="6"/>
    <n v="147"/>
    <x v="0"/>
    <x v="1"/>
    <d v="2022-04-29T00:00:00"/>
    <x v="1"/>
  </r>
  <r>
    <s v="TXN_9131959"/>
    <s v="CUST_01"/>
    <x v="1"/>
    <s v="Item_2_MILK"/>
    <n v="6.5"/>
    <n v="1"/>
    <n v="6.5"/>
    <x v="1"/>
    <x v="0"/>
    <d v="2022-01-11T00:00:00"/>
    <x v="1"/>
  </r>
  <r>
    <s v="TXN_2755690"/>
    <s v="CUST_08"/>
    <x v="7"/>
    <s v="Item_12_CEA"/>
    <n v="21.5"/>
    <n v="9"/>
    <n v="193.5"/>
    <x v="2"/>
    <x v="0"/>
    <d v="2024-11-04T00:00:00"/>
    <x v="1"/>
  </r>
  <r>
    <s v="TXN_5675339"/>
    <s v="CUST_20"/>
    <x v="6"/>
    <s v="Item_20_EHE"/>
    <n v="33.5"/>
    <n v="4"/>
    <n v="134"/>
    <x v="1"/>
    <x v="0"/>
    <d v="2024-01-12T00:00:00"/>
    <x v="0"/>
  </r>
  <r>
    <s v="TXN_2687566"/>
    <s v="CUST_19"/>
    <x v="5"/>
    <s v="Item_16_FUR"/>
    <n v="27.5"/>
    <n v="1"/>
    <n v="27.5"/>
    <x v="1"/>
    <x v="0"/>
    <d v="2022-03-21T00:00:00"/>
    <x v="1"/>
  </r>
  <r>
    <s v="TXN_6070296"/>
    <s v="CUST_19"/>
    <x v="6"/>
    <s v="Item_5_EHE"/>
    <n v="11"/>
    <n v="3"/>
    <n v="33"/>
    <x v="2"/>
    <x v="1"/>
    <d v="2024-01-31T00:00:00"/>
    <x v="1"/>
  </r>
  <r>
    <s v="TXN_7927802"/>
    <s v="CUST_20"/>
    <x v="2"/>
    <s v="Item_22_BUT"/>
    <n v="36.5"/>
    <n v="8"/>
    <n v="292"/>
    <x v="0"/>
    <x v="0"/>
    <d v="2023-06-30T00:00:00"/>
    <x v="0"/>
  </r>
  <r>
    <s v="TXN_1607995"/>
    <s v="CUST_23"/>
    <x v="6"/>
    <s v="Item_19_EHE"/>
    <n v="32"/>
    <n v="6"/>
    <n v="192"/>
    <x v="1"/>
    <x v="1"/>
    <d v="2023-12-24T00:00:00"/>
    <x v="0"/>
  </r>
  <r>
    <s v="TXN_1694461"/>
    <s v="CUST_17"/>
    <x v="2"/>
    <s v="Item_12_BUT"/>
    <n v="21.5"/>
    <n v="10"/>
    <n v="215"/>
    <x v="2"/>
    <x v="0"/>
    <d v="2022-07-13T00:00:00"/>
    <x v="0"/>
  </r>
  <r>
    <s v="TXN_4728272"/>
    <s v="CUST_21"/>
    <x v="7"/>
    <s v="Item_22_CEA"/>
    <n v="36.5"/>
    <n v="9"/>
    <n v="328.5"/>
    <x v="2"/>
    <x v="0"/>
    <d v="2023-02-27T00:00:00"/>
    <x v="1"/>
  </r>
  <r>
    <s v="TXN_1213835"/>
    <s v="CUST_02"/>
    <x v="3"/>
    <s v="Item_22_BEV"/>
    <n v="36.5"/>
    <n v="4"/>
    <n v="146"/>
    <x v="0"/>
    <x v="1"/>
    <d v="2022-07-06T00:00:00"/>
    <x v="1"/>
  </r>
  <r>
    <s v="TXN_7377480"/>
    <s v="CUST_23"/>
    <x v="4"/>
    <s v="Item_10_FOOD"/>
    <n v="18.5"/>
    <n v="6"/>
    <n v="111"/>
    <x v="2"/>
    <x v="0"/>
    <d v="2024-03-13T00:00:00"/>
    <x v="0"/>
  </r>
  <r>
    <s v="TXN_3331644"/>
    <s v="CUST_20"/>
    <x v="1"/>
    <s v="Item_16_MILK"/>
    <n v="27.5"/>
    <n v="8"/>
    <n v="220"/>
    <x v="0"/>
    <x v="0"/>
    <d v="2024-04-27T00:00:00"/>
    <x v="0"/>
  </r>
  <r>
    <s v="TXN_2605227"/>
    <s v="CUST_12"/>
    <x v="2"/>
    <s v="Item_7_BUT"/>
    <n v="14"/>
    <n v="2"/>
    <n v="28"/>
    <x v="2"/>
    <x v="1"/>
    <d v="2024-02-03T00:00:00"/>
    <x v="1"/>
  </r>
  <r>
    <s v="TXN_5387201"/>
    <s v="CUST_14"/>
    <x v="5"/>
    <s v="Item_2_FUR"/>
    <n v="6.5"/>
    <n v="6"/>
    <n v="39"/>
    <x v="0"/>
    <x v="0"/>
    <d v="2024-11-06T00:00:00"/>
    <x v="0"/>
  </r>
  <r>
    <s v="TXN_2782829"/>
    <s v="CUST_02"/>
    <x v="6"/>
    <s v="Item_12_EHE"/>
    <n v="21.5"/>
    <n v="7"/>
    <n v="150.5"/>
    <x v="2"/>
    <x v="1"/>
    <d v="2024-03-14T00:00:00"/>
    <x v="0"/>
  </r>
  <r>
    <s v="TXN_3253186"/>
    <s v="CUST_04"/>
    <x v="1"/>
    <s v="Item_23_MILK"/>
    <n v="38"/>
    <n v="9"/>
    <n v="342"/>
    <x v="2"/>
    <x v="0"/>
    <d v="2022-09-14T00:00:00"/>
    <x v="0"/>
  </r>
  <r>
    <s v="TXN_5905211"/>
    <s v="CUST_18"/>
    <x v="7"/>
    <s v="Item_5_CEA"/>
    <n v="11"/>
    <n v="3"/>
    <n v="33"/>
    <x v="0"/>
    <x v="0"/>
    <d v="2024-03-21T00:00:00"/>
    <x v="1"/>
  </r>
  <r>
    <s v="TXN_2937307"/>
    <s v="CUST_15"/>
    <x v="0"/>
    <s v="Item_14_PAT"/>
    <n v="24.5"/>
    <n v="6"/>
    <n v="147"/>
    <x v="2"/>
    <x v="1"/>
    <d v="2025-01-06T00:00:00"/>
    <x v="0"/>
  </r>
  <r>
    <s v="TXN_7739969"/>
    <s v="CUST_17"/>
    <x v="7"/>
    <s v="Item_12_CEA"/>
    <n v="21.5"/>
    <n v="3"/>
    <n v="64.5"/>
    <x v="2"/>
    <x v="0"/>
    <d v="2023-12-14T00:00:00"/>
    <x v="0"/>
  </r>
  <r>
    <s v="TXN_2346263"/>
    <s v="CUST_21"/>
    <x v="6"/>
    <s v="Item_6_EHE"/>
    <n v="12.5"/>
    <n v="1"/>
    <n v="12.5"/>
    <x v="1"/>
    <x v="1"/>
    <d v="2022-09-09T00:00:00"/>
    <x v="1"/>
  </r>
  <r>
    <s v="TXN_2610751"/>
    <s v="CUST_05"/>
    <x v="2"/>
    <s v="Item_25_BUT"/>
    <n v="41"/>
    <n v="5"/>
    <n v="205"/>
    <x v="2"/>
    <x v="0"/>
    <d v="2022-05-30T00:00:00"/>
    <x v="0"/>
  </r>
  <r>
    <s v="TXN_2712285"/>
    <s v="CUST_22"/>
    <x v="5"/>
    <s v="Item_2_FUR"/>
    <n v="6.5"/>
    <n v="5"/>
    <n v="32.5"/>
    <x v="2"/>
    <x v="1"/>
    <d v="2022-06-25T00:00:00"/>
    <x v="1"/>
  </r>
  <r>
    <s v="TXN_5372618"/>
    <s v="CUST_08"/>
    <x v="6"/>
    <s v="Item_15_EHE"/>
    <n v="26"/>
    <n v="7"/>
    <n v="182"/>
    <x v="0"/>
    <x v="1"/>
    <d v="2022-05-18T00:00:00"/>
    <x v="0"/>
  </r>
  <r>
    <s v="TXN_9725690"/>
    <s v="CUST_21"/>
    <x v="6"/>
    <s v="Item_8_EHE"/>
    <n v="15.5"/>
    <n v="6"/>
    <n v="93"/>
    <x v="1"/>
    <x v="0"/>
    <d v="2022-08-30T00:00:00"/>
    <x v="0"/>
  </r>
  <r>
    <s v="TXN_1619388"/>
    <s v="CUST_01"/>
    <x v="7"/>
    <s v="Item_15_CEA"/>
    <n v="26"/>
    <n v="1"/>
    <n v="26"/>
    <x v="0"/>
    <x v="0"/>
    <d v="2024-05-23T00:00:00"/>
    <x v="0"/>
  </r>
  <r>
    <s v="TXN_8846502"/>
    <s v="CUST_25"/>
    <x v="0"/>
    <s v="Item_9_PAT"/>
    <n v="17"/>
    <n v="6"/>
    <n v="102"/>
    <x v="2"/>
    <x v="1"/>
    <d v="2024-08-07T00:00:00"/>
    <x v="0"/>
  </r>
  <r>
    <s v="TXN_2079721"/>
    <s v="CUST_12"/>
    <x v="2"/>
    <s v="Item_21_BUT"/>
    <n v="35"/>
    <n v="1"/>
    <n v="35"/>
    <x v="0"/>
    <x v="1"/>
    <d v="2023-12-14T00:00:00"/>
    <x v="0"/>
  </r>
  <r>
    <s v="TXN_5361643"/>
    <s v="CUST_19"/>
    <x v="4"/>
    <s v="Item_11_FOOD"/>
    <n v="23"/>
    <n v="2"/>
    <n v="46"/>
    <x v="0"/>
    <x v="0"/>
    <d v="2023-12-19T00:00:00"/>
    <x v="0"/>
  </r>
  <r>
    <s v="TXN_5809744"/>
    <s v="CUST_18"/>
    <x v="4"/>
    <s v="Item_9_FOOD"/>
    <n v="17"/>
    <n v="4"/>
    <n v="68"/>
    <x v="2"/>
    <x v="1"/>
    <d v="2023-01-29T00:00:00"/>
    <x v="0"/>
  </r>
  <r>
    <s v="TXN_6567750"/>
    <s v="CUST_05"/>
    <x v="5"/>
    <s v="Item_14_FUR"/>
    <n v="24.5"/>
    <n v="4"/>
    <n v="98"/>
    <x v="1"/>
    <x v="1"/>
    <d v="2022-10-26T00:00:00"/>
    <x v="0"/>
  </r>
  <r>
    <s v="TXN_6837444"/>
    <s v="CUST_19"/>
    <x v="7"/>
    <s v="Item_16_CEA"/>
    <n v="27.5"/>
    <n v="9"/>
    <n v="247.5"/>
    <x v="2"/>
    <x v="0"/>
    <d v="2023-01-13T00:00:00"/>
    <x v="1"/>
  </r>
  <r>
    <s v="TXN_9307798"/>
    <s v="CUST_05"/>
    <x v="0"/>
    <s v="Item_4_PAT"/>
    <n v="9.5"/>
    <n v="2"/>
    <n v="19"/>
    <x v="0"/>
    <x v="1"/>
    <d v="2023-07-05T00:00:00"/>
    <x v="0"/>
  </r>
  <r>
    <s v="TXN_3791514"/>
    <s v="CUST_16"/>
    <x v="0"/>
    <s v="Item_4_PAT"/>
    <n v="9.5"/>
    <n v="2"/>
    <n v="19"/>
    <x v="0"/>
    <x v="0"/>
    <d v="2023-01-08T00:00:00"/>
    <x v="0"/>
  </r>
  <r>
    <s v="TXN_8377166"/>
    <s v="CUST_06"/>
    <x v="2"/>
    <s v="Item_20_BUT"/>
    <n v="33.5"/>
    <n v="2"/>
    <n v="67"/>
    <x v="1"/>
    <x v="1"/>
    <d v="2024-03-27T00:00:00"/>
    <x v="1"/>
  </r>
  <r>
    <s v="TXN_9027643"/>
    <s v="CUST_01"/>
    <x v="0"/>
    <s v="Item_5_PAT"/>
    <n v="11"/>
    <n v="10"/>
    <n v="110"/>
    <x v="2"/>
    <x v="1"/>
    <d v="2024-10-25T00:00:00"/>
    <x v="0"/>
  </r>
  <r>
    <s v="TXN_3171192"/>
    <s v="CUST_13"/>
    <x v="4"/>
    <s v="Item_11_FOOD"/>
    <n v="26"/>
    <n v="1"/>
    <n v="26"/>
    <x v="2"/>
    <x v="0"/>
    <d v="2024-01-22T00:00:00"/>
    <x v="0"/>
  </r>
  <r>
    <s v="TXN_5547887"/>
    <s v="CUST_01"/>
    <x v="0"/>
    <s v="Item_17_PAT"/>
    <n v="29"/>
    <n v="10"/>
    <n v="290"/>
    <x v="0"/>
    <x v="0"/>
    <d v="2024-09-10T00:00:00"/>
    <x v="0"/>
  </r>
  <r>
    <s v="TXN_2009395"/>
    <s v="CUST_13"/>
    <x v="4"/>
    <s v="Item_11_FOOD"/>
    <n v="20"/>
    <n v="6"/>
    <n v="120"/>
    <x v="0"/>
    <x v="0"/>
    <d v="2024-08-12T00:00:00"/>
    <x v="1"/>
  </r>
  <r>
    <s v="TXN_1354667"/>
    <s v="CUST_08"/>
    <x v="3"/>
    <s v="Item_8_BEV"/>
    <n v="15.5"/>
    <n v="5"/>
    <n v="77.5"/>
    <x v="2"/>
    <x v="0"/>
    <d v="2022-04-04T00:00:00"/>
    <x v="0"/>
  </r>
  <r>
    <s v="TXN_1597974"/>
    <s v="CUST_08"/>
    <x v="1"/>
    <s v="Item_18_MILK"/>
    <n v="30.5"/>
    <n v="2"/>
    <n v="61"/>
    <x v="2"/>
    <x v="0"/>
    <d v="2023-10-20T00:00:00"/>
    <x v="0"/>
  </r>
  <r>
    <s v="TXN_3795673"/>
    <s v="CUST_14"/>
    <x v="2"/>
    <s v="Item_5_BUT"/>
    <n v="11"/>
    <n v="7"/>
    <n v="77"/>
    <x v="2"/>
    <x v="1"/>
    <d v="2024-02-02T00:00:00"/>
    <x v="0"/>
  </r>
  <r>
    <s v="TXN_7725571"/>
    <s v="CUST_09"/>
    <x v="5"/>
    <s v="Item_25_FUR"/>
    <n v="41"/>
    <n v="3"/>
    <n v="123"/>
    <x v="1"/>
    <x v="0"/>
    <d v="2024-06-24T00:00:00"/>
    <x v="0"/>
  </r>
  <r>
    <s v="TXN_5827116"/>
    <s v="CUST_03"/>
    <x v="7"/>
    <s v="Item_11_CEA"/>
    <n v="20"/>
    <n v="7"/>
    <n v="140"/>
    <x v="2"/>
    <x v="1"/>
    <d v="2023-11-05T00:00:00"/>
    <x v="1"/>
  </r>
  <r>
    <s v="TXN_5314835"/>
    <s v="CUST_22"/>
    <x v="0"/>
    <s v="Item_1_PAT"/>
    <n v="5"/>
    <n v="7"/>
    <n v="35"/>
    <x v="0"/>
    <x v="0"/>
    <d v="2024-07-05T00:00:00"/>
    <x v="0"/>
  </r>
  <r>
    <s v="TXN_4897743"/>
    <s v="CUST_01"/>
    <x v="4"/>
    <s v="Item_11_FOOD"/>
    <n v="21.5"/>
    <n v="9"/>
    <n v="193.5"/>
    <x v="1"/>
    <x v="1"/>
    <d v="2024-03-18T00:00:00"/>
    <x v="0"/>
  </r>
  <r>
    <s v="TXN_1565398"/>
    <s v="CUST_25"/>
    <x v="4"/>
    <s v="Item_11_FOOD"/>
    <n v="18.5"/>
    <n v="8"/>
    <n v="148"/>
    <x v="1"/>
    <x v="1"/>
    <d v="2022-06-15T00:00:00"/>
    <x v="0"/>
  </r>
  <r>
    <s v="TXN_5579136"/>
    <s v="CUST_24"/>
    <x v="3"/>
    <s v="Item_14_BEV"/>
    <n v="24.5"/>
    <n v="8"/>
    <n v="196"/>
    <x v="0"/>
    <x v="1"/>
    <d v="2023-05-12T00:00:00"/>
    <x v="0"/>
  </r>
  <r>
    <s v="TXN_9472812"/>
    <s v="CUST_04"/>
    <x v="4"/>
    <s v="Item_11_FOOD"/>
    <n v="11"/>
    <n v="1"/>
    <n v="11"/>
    <x v="0"/>
    <x v="0"/>
    <d v="2024-08-16T00:00:00"/>
    <x v="0"/>
  </r>
  <r>
    <s v="TXN_9837294"/>
    <s v="CUST_23"/>
    <x v="3"/>
    <s v="Item_4_BEV"/>
    <n v="9.5"/>
    <n v="4"/>
    <n v="38"/>
    <x v="0"/>
    <x v="1"/>
    <d v="2024-06-15T00:00:00"/>
    <x v="0"/>
  </r>
  <r>
    <s v="TXN_8172094"/>
    <s v="CUST_21"/>
    <x v="0"/>
    <s v="Item_6_PAT"/>
    <n v="12.5"/>
    <n v="8"/>
    <n v="100"/>
    <x v="0"/>
    <x v="1"/>
    <d v="2022-03-05T00:00:00"/>
    <x v="1"/>
  </r>
  <r>
    <s v="TXN_4882798"/>
    <s v="CUST_23"/>
    <x v="5"/>
    <s v="Item_6_FUR"/>
    <n v="12.5"/>
    <n v="10"/>
    <n v="125"/>
    <x v="1"/>
    <x v="1"/>
    <d v="2022-04-22T00:00:00"/>
    <x v="0"/>
  </r>
  <r>
    <s v="TXN_4283900"/>
    <s v="CUST_04"/>
    <x v="3"/>
    <s v="Item_24_BEV"/>
    <n v="39.5"/>
    <n v="6"/>
    <n v="237"/>
    <x v="1"/>
    <x v="0"/>
    <d v="2022-06-23T00:00:00"/>
    <x v="1"/>
  </r>
  <r>
    <s v="TXN_1224321"/>
    <s v="CUST_05"/>
    <x v="7"/>
    <s v="Item_6_CEA"/>
    <n v="12.5"/>
    <n v="1"/>
    <n v="12.5"/>
    <x v="0"/>
    <x v="0"/>
    <d v="2022-08-22T00:00:00"/>
    <x v="1"/>
  </r>
  <r>
    <s v="TXN_5240854"/>
    <s v="CUST_16"/>
    <x v="7"/>
    <s v="Item_21_CEA"/>
    <n v="35"/>
    <n v="6"/>
    <n v="210"/>
    <x v="2"/>
    <x v="0"/>
    <d v="2024-10-09T00:00:00"/>
    <x v="0"/>
  </r>
  <r>
    <s v="TXN_4879732"/>
    <s v="CUST_21"/>
    <x v="1"/>
    <s v="Item_18_MILK"/>
    <n v="30.5"/>
    <n v="3"/>
    <n v="91.5"/>
    <x v="2"/>
    <x v="0"/>
    <d v="2022-02-27T00:00:00"/>
    <x v="0"/>
  </r>
  <r>
    <s v="TXN_1642953"/>
    <s v="CUST_18"/>
    <x v="6"/>
    <s v="Item_16_EHE"/>
    <n v="27.5"/>
    <n v="5"/>
    <n v="137.5"/>
    <x v="0"/>
    <x v="1"/>
    <d v="2022-10-30T00:00:00"/>
    <x v="0"/>
  </r>
  <r>
    <s v="TXN_9917843"/>
    <s v="CUST_11"/>
    <x v="1"/>
    <s v="Item_19_MILK"/>
    <n v="9.5"/>
    <n v="10"/>
    <n v="95"/>
    <x v="0"/>
    <x v="0"/>
    <d v="2024-03-04T00:00:00"/>
    <x v="0"/>
  </r>
  <r>
    <s v="TXN_4602333"/>
    <s v="CUST_19"/>
    <x v="1"/>
    <s v="Item_14_MILK"/>
    <n v="24.5"/>
    <n v="10"/>
    <n v="245"/>
    <x v="1"/>
    <x v="0"/>
    <d v="2024-12-30T00:00:00"/>
    <x v="0"/>
  </r>
  <r>
    <s v="TXN_8101203"/>
    <s v="CUST_18"/>
    <x v="4"/>
    <s v="Item_5_FOOD"/>
    <n v="11"/>
    <n v="10"/>
    <n v="110"/>
    <x v="1"/>
    <x v="1"/>
    <d v="2022-04-14T00:00:00"/>
    <x v="0"/>
  </r>
  <r>
    <s v="TXN_4766175"/>
    <s v="CUST_24"/>
    <x v="5"/>
    <s v="Item_11_FUR"/>
    <n v="20"/>
    <n v="3"/>
    <n v="60"/>
    <x v="0"/>
    <x v="0"/>
    <d v="2024-03-25T00:00:00"/>
    <x v="1"/>
  </r>
  <r>
    <s v="TXN_2331955"/>
    <s v="CUST_10"/>
    <x v="0"/>
    <s v="Item_20_PAT"/>
    <n v="33.5"/>
    <n v="4"/>
    <n v="134"/>
    <x v="2"/>
    <x v="0"/>
    <d v="2023-04-01T00:00:00"/>
    <x v="1"/>
  </r>
  <r>
    <s v="TXN_1373649"/>
    <s v="CUST_09"/>
    <x v="6"/>
    <s v="Item_22_EHE"/>
    <n v="36.5"/>
    <n v="6"/>
    <n v="219"/>
    <x v="2"/>
    <x v="1"/>
    <d v="2023-05-07T00:00:00"/>
    <x v="1"/>
  </r>
  <r>
    <s v="TXN_8660082"/>
    <s v="CUST_08"/>
    <x v="3"/>
    <s v="Item_20_BEV"/>
    <n v="33.5"/>
    <n v="1"/>
    <n v="33.5"/>
    <x v="1"/>
    <x v="1"/>
    <d v="2024-05-18T00:00:00"/>
    <x v="0"/>
  </r>
  <r>
    <s v="TXN_4244094"/>
    <s v="CUST_04"/>
    <x v="4"/>
    <s v="Item_6_FOOD"/>
    <n v="12.5"/>
    <n v="2"/>
    <n v="25"/>
    <x v="0"/>
    <x v="1"/>
    <d v="2022-09-06T00:00:00"/>
    <x v="1"/>
  </r>
  <r>
    <s v="TXN_3949704"/>
    <s v="CUST_22"/>
    <x v="6"/>
    <s v="Item_21_EHE"/>
    <n v="35"/>
    <n v="9"/>
    <n v="315"/>
    <x v="2"/>
    <x v="0"/>
    <d v="2022-06-12T00:00:00"/>
    <x v="1"/>
  </r>
  <r>
    <s v="TXN_1304201"/>
    <s v="CUST_09"/>
    <x v="5"/>
    <s v="Item_5_FUR"/>
    <n v="11"/>
    <n v="4"/>
    <n v="44"/>
    <x v="1"/>
    <x v="1"/>
    <d v="2024-03-14T00:00:00"/>
    <x v="0"/>
  </r>
  <r>
    <s v="TXN_1481263"/>
    <s v="CUST_13"/>
    <x v="0"/>
    <s v="Item_9_PAT"/>
    <n v="17"/>
    <n v="8"/>
    <n v="136"/>
    <x v="0"/>
    <x v="1"/>
    <d v="2022-12-04T00:00:00"/>
    <x v="1"/>
  </r>
  <r>
    <s v="TXN_1830813"/>
    <s v="CUST_15"/>
    <x v="1"/>
    <s v="Item_22_MILK"/>
    <n v="36.5"/>
    <n v="8"/>
    <n v="292"/>
    <x v="1"/>
    <x v="0"/>
    <d v="2023-11-05T00:00:00"/>
    <x v="0"/>
  </r>
  <r>
    <s v="TXN_3256316"/>
    <s v="CUST_22"/>
    <x v="4"/>
    <s v="Item_17_FOOD"/>
    <n v="29"/>
    <n v="1"/>
    <n v="29"/>
    <x v="2"/>
    <x v="0"/>
    <d v="2024-07-10T00:00:00"/>
    <x v="1"/>
  </r>
  <r>
    <s v="TXN_4412300"/>
    <s v="CUST_05"/>
    <x v="6"/>
    <s v="Item_23_EHE"/>
    <n v="38"/>
    <n v="10"/>
    <n v="380"/>
    <x v="0"/>
    <x v="1"/>
    <d v="2022-08-18T00:00:00"/>
    <x v="1"/>
  </r>
  <r>
    <s v="TXN_8350639"/>
    <s v="CUST_21"/>
    <x v="5"/>
    <s v="Item_2_FUR"/>
    <n v="6.5"/>
    <n v="9"/>
    <n v="58.5"/>
    <x v="0"/>
    <x v="0"/>
    <d v="2023-07-12T00:00:00"/>
    <x v="1"/>
  </r>
  <r>
    <s v="TXN_6417585"/>
    <s v="CUST_05"/>
    <x v="6"/>
    <s v="Item_19_EHE"/>
    <n v="32"/>
    <n v="2"/>
    <n v="64"/>
    <x v="2"/>
    <x v="1"/>
    <d v="2023-02-08T00:00:00"/>
    <x v="0"/>
  </r>
  <r>
    <s v="TXN_8355393"/>
    <s v="CUST_10"/>
    <x v="1"/>
    <s v="Item_17_MILK"/>
    <n v="29"/>
    <n v="5"/>
    <n v="145"/>
    <x v="2"/>
    <x v="1"/>
    <d v="2022-01-24T00:00:00"/>
    <x v="1"/>
  </r>
  <r>
    <s v="TXN_5759876"/>
    <s v="CUST_03"/>
    <x v="4"/>
    <s v="Item_25_FOOD"/>
    <n v="41"/>
    <n v="3"/>
    <n v="123"/>
    <x v="2"/>
    <x v="0"/>
    <d v="2023-12-27T00:00:00"/>
    <x v="0"/>
  </r>
  <r>
    <s v="TXN_5786761"/>
    <s v="CUST_03"/>
    <x v="7"/>
    <s v="Item_6_CEA"/>
    <n v="12.5"/>
    <n v="5"/>
    <n v="62.5"/>
    <x v="1"/>
    <x v="0"/>
    <d v="2023-10-25T00:00:00"/>
    <x v="0"/>
  </r>
  <r>
    <s v="TXN_4126221"/>
    <s v="CUST_03"/>
    <x v="5"/>
    <s v="Item_2_FUR"/>
    <n v="6.5"/>
    <n v="1"/>
    <n v="6.5"/>
    <x v="2"/>
    <x v="0"/>
    <d v="2023-07-03T00:00:00"/>
    <x v="0"/>
  </r>
  <r>
    <s v="TXN_3055303"/>
    <s v="CUST_23"/>
    <x v="4"/>
    <s v="Item_22_FOOD"/>
    <n v="36.5"/>
    <n v="1"/>
    <n v="36.5"/>
    <x v="2"/>
    <x v="0"/>
    <d v="2022-06-30T00:00:00"/>
    <x v="0"/>
  </r>
  <r>
    <s v="TXN_3948610"/>
    <s v="CUST_07"/>
    <x v="5"/>
    <s v="Item_20_FUR"/>
    <n v="33.5"/>
    <n v="1"/>
    <n v="33.5"/>
    <x v="0"/>
    <x v="1"/>
    <d v="2023-02-24T00:00:00"/>
    <x v="0"/>
  </r>
  <r>
    <s v="TXN_3042204"/>
    <s v="CUST_16"/>
    <x v="0"/>
    <s v="Item_12_PAT"/>
    <n v="21.5"/>
    <n v="5"/>
    <n v="107.5"/>
    <x v="0"/>
    <x v="0"/>
    <d v="2023-05-14T00:00:00"/>
    <x v="0"/>
  </r>
  <r>
    <s v="TXN_7810642"/>
    <s v="CUST_12"/>
    <x v="3"/>
    <s v="Item_6_BEV"/>
    <n v="12.5"/>
    <n v="8"/>
    <n v="100"/>
    <x v="1"/>
    <x v="0"/>
    <d v="2024-03-04T00:00:00"/>
    <x v="1"/>
  </r>
  <r>
    <s v="TXN_1386229"/>
    <s v="CUST_08"/>
    <x v="7"/>
    <s v="Item_11_CEA"/>
    <n v="20"/>
    <n v="4"/>
    <n v="80"/>
    <x v="1"/>
    <x v="0"/>
    <d v="2023-04-02T00:00:00"/>
    <x v="1"/>
  </r>
  <r>
    <s v="TXN_5372777"/>
    <s v="CUST_08"/>
    <x v="1"/>
    <s v="Item_1_MILK"/>
    <n v="5"/>
    <n v="6"/>
    <n v="30"/>
    <x v="1"/>
    <x v="0"/>
    <d v="2022-05-30T00:00:00"/>
    <x v="0"/>
  </r>
  <r>
    <s v="TXN_2082706"/>
    <s v="CUST_17"/>
    <x v="5"/>
    <s v="Item_12_FUR"/>
    <n v="21.5"/>
    <n v="8"/>
    <n v="172"/>
    <x v="2"/>
    <x v="0"/>
    <d v="2024-10-10T00:00:00"/>
    <x v="0"/>
  </r>
  <r>
    <s v="TXN_1808071"/>
    <s v="CUST_25"/>
    <x v="4"/>
    <s v="Item_13_FOOD"/>
    <n v="23"/>
    <n v="2"/>
    <n v="46"/>
    <x v="0"/>
    <x v="1"/>
    <d v="2022-10-14T00:00:0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434F05-692F-4CB9-80D5-7005672BD3C4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13" firstHeaderRow="1" firstDataRow="2" firstDataCol="1"/>
  <pivotFields count="11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showAll="0"/>
    <pivotField numFmtId="14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Spent" fld="6" baseField="0" baseItem="0"/>
  </dataFields>
  <formats count="6">
    <format dxfId="30">
      <pivotArea outline="0" collapsedLevelsAreSubtotals="1" fieldPosition="0"/>
    </format>
    <format dxfId="29">
      <pivotArea field="2" type="button" dataOnly="0" labelOnly="1" outline="0" axis="axisRow" fieldPosition="0"/>
    </format>
    <format dxfId="28">
      <pivotArea dataOnly="0" labelOnly="1" fieldPosition="0">
        <references count="1">
          <reference field="2" count="0"/>
        </references>
      </pivotArea>
    </format>
    <format dxfId="27">
      <pivotArea dataOnly="0" labelOnly="1" grandRow="1" outline="0" fieldPosition="0"/>
    </format>
    <format dxfId="26">
      <pivotArea dataOnly="0" labelOnly="1" fieldPosition="0">
        <references count="1">
          <reference field="7" count="0"/>
        </references>
      </pivotArea>
    </format>
    <format dxfId="25">
      <pivotArea dataOnly="0" labelOnly="1" grandCol="1" outline="0" fieldPosition="0"/>
    </format>
  </formats>
  <chartFormats count="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F7651A-E306-423B-8F7D-3D07337FBDD7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7" firstHeaderRow="1" firstDataRow="2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4">
        <item x="2"/>
        <item x="1"/>
        <item x="0"/>
        <item t="default"/>
      </items>
    </pivotField>
    <pivotField axis="axisRow" showAll="0">
      <items count="3">
        <item x="1"/>
        <item x="0"/>
        <item t="default"/>
      </items>
    </pivotField>
    <pivotField numFmtId="14"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um of Total Spent" fld="6" baseField="0" baseItem="0"/>
  </dataFields>
  <formats count="6">
    <format dxfId="24">
      <pivotArea outline="0" collapsedLevelsAreSubtotals="1" fieldPosition="0"/>
    </format>
    <format dxfId="23">
      <pivotArea field="8" type="button" dataOnly="0" labelOnly="1" outline="0" axis="axisRow" fieldPosition="0"/>
    </format>
    <format dxfId="22">
      <pivotArea dataOnly="0" labelOnly="1" fieldPosition="0">
        <references count="1">
          <reference field="8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7" count="0"/>
        </references>
      </pivotArea>
    </format>
    <format dxfId="19">
      <pivotArea dataOnly="0" labelOnly="1" grandCol="1" outline="0" fieldPosition="0"/>
    </format>
  </formats>
  <chartFormats count="6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81531-391B-4E4E-AD78-B173753392B0}" name="PivotTable1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1"/>
        <item x="0"/>
        <item t="default"/>
      </items>
    </pivotField>
    <pivotField numFmtId="14"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Sum of Total Spent" fld="6" baseField="0" baseItem="0"/>
  </dataFields>
  <formats count="6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8" type="button" dataOnly="0" labelOnly="1" outline="0" axis="axisRow" fieldPosition="0"/>
    </format>
    <format dxfId="15">
      <pivotArea dataOnly="0" labelOnly="1" fieldPosition="0">
        <references count="1">
          <reference field="8" count="0"/>
        </references>
      </pivotArea>
    </format>
    <format dxfId="14">
      <pivotArea dataOnly="0" labelOnly="1" grandRow="1" outline="0" fieldPosition="0"/>
    </format>
    <format dxfId="13">
      <pivotArea dataOnly="0" labelOnly="1" outline="0" axis="axisValues" fieldPosition="0"/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7A3ED-F523-409F-8209-0AEE3131AB9B}" name="PivotTable1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" firstHeaderRow="1" firstDataRow="1" firstDataCol="1"/>
  <pivotFields count="11">
    <pivotField showAll="0"/>
    <pivotField showAll="0"/>
    <pivotField axis="axisRow" showAll="0">
      <items count="9">
        <item x="3"/>
        <item x="2"/>
        <item x="7"/>
        <item x="6"/>
        <item x="4"/>
        <item x="5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14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pent" fld="6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2" type="button" dataOnly="0" labelOnly="1" outline="0" axis="axisRow" fieldPosition="0"/>
    </format>
    <format dxfId="9">
      <pivotArea dataOnly="0" labelOnly="1" fieldPosition="0">
        <references count="1">
          <reference field="2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19F834-A7AB-425A-89FC-2F91EE7173CC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  <pivotField showAll="0"/>
    <pivotField numFmtId="14"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pent" fld="6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7" type="button" dataOnly="0" labelOnly="1" outline="0" axis="axisRow" fieldPosition="0"/>
    </format>
    <format dxfId="2">
      <pivotArea dataOnly="0" labelOnly="1" fieldPosition="0">
        <references count="1">
          <reference field="7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12B1AB-7B61-46BD-84D2-4D228480B46D}" name="Table1" displayName="Table1" ref="A1:K501" totalsRowShown="0">
  <autoFilter ref="A1:K501" xr:uid="{0912B1AB-7B61-46BD-84D2-4D228480B46D}"/>
  <tableColumns count="11">
    <tableColumn id="1" xr3:uid="{4DED6A91-147D-4BE8-BC13-4176B38ADC8E}" name="Transaction ID"/>
    <tableColumn id="2" xr3:uid="{60C6262C-B627-4807-9E18-3743ABAE8FB9}" name="Customer ID"/>
    <tableColumn id="3" xr3:uid="{A7FB2587-B36E-4582-83BF-DC114BBB83B6}" name="Category"/>
    <tableColumn id="4" xr3:uid="{65CDF2CC-BD2D-4C7A-94FF-6CB742A5E504}" name="Item"/>
    <tableColumn id="5" xr3:uid="{BF9585F2-E6FC-4260-93CC-171FFD42A2BF}" name="Price Per Unit"/>
    <tableColumn id="6" xr3:uid="{10E2FD1D-665F-4160-8EE1-A495FE79B56A}" name="Quantity"/>
    <tableColumn id="7" xr3:uid="{B15F03FF-431E-4C9B-B479-0A309EDD5636}" name="Total Spent"/>
    <tableColumn id="8" xr3:uid="{CC77D64B-9028-4945-A982-97323D3F58A6}" name="Payment Method"/>
    <tableColumn id="9" xr3:uid="{6B2E9D0B-1786-4841-BB22-518EDA0A62B2}" name="Location"/>
    <tableColumn id="10" xr3:uid="{13F91521-A2E2-46FE-BF6B-16E3137FFDE1}" name="Transaction Date" dataDxfId="31"/>
    <tableColumn id="11" xr3:uid="{7CFA1434-E645-4697-B04E-DA8622F0E492}" name="Discount Appl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0EFA-8B6A-45CF-A06B-DFC5A771E67C}">
  <dimension ref="A3:E13"/>
  <sheetViews>
    <sheetView workbookViewId="0">
      <selection activeCell="B20" sqref="B20"/>
    </sheetView>
  </sheetViews>
  <sheetFormatPr defaultRowHeight="14.5" x14ac:dyDescent="0.35"/>
  <cols>
    <col min="1" max="1" width="30.36328125" bestFit="1" customWidth="1"/>
    <col min="2" max="2" width="15.6328125" bestFit="1" customWidth="1"/>
    <col min="3" max="3" width="10.36328125" bestFit="1" customWidth="1"/>
    <col min="4" max="4" width="12" bestFit="1" customWidth="1"/>
    <col min="5" max="5" width="10.36328125" bestFit="1" customWidth="1"/>
  </cols>
  <sheetData>
    <row r="3" spans="1:5" x14ac:dyDescent="0.35">
      <c r="A3" s="2" t="s">
        <v>716</v>
      </c>
      <c r="B3" s="2" t="s">
        <v>715</v>
      </c>
    </row>
    <row r="4" spans="1:5" x14ac:dyDescent="0.35">
      <c r="A4" s="3" t="s">
        <v>713</v>
      </c>
      <c r="B4" s="4" t="s">
        <v>49</v>
      </c>
      <c r="C4" s="4" t="s">
        <v>25</v>
      </c>
      <c r="D4" s="4" t="s">
        <v>15</v>
      </c>
      <c r="E4" s="4" t="s">
        <v>714</v>
      </c>
    </row>
    <row r="5" spans="1:5" x14ac:dyDescent="0.35">
      <c r="A5" s="5" t="s">
        <v>28</v>
      </c>
      <c r="B5" s="6">
        <v>1967</v>
      </c>
      <c r="C5" s="6">
        <v>2522</v>
      </c>
      <c r="D5" s="6">
        <v>2019</v>
      </c>
      <c r="E5" s="6">
        <v>6508</v>
      </c>
    </row>
    <row r="6" spans="1:5" x14ac:dyDescent="0.35">
      <c r="A6" s="5" t="s">
        <v>23</v>
      </c>
      <c r="B6" s="6">
        <v>2245.5</v>
      </c>
      <c r="C6" s="6">
        <v>3253</v>
      </c>
      <c r="D6" s="6">
        <v>2471.5</v>
      </c>
      <c r="E6" s="6">
        <v>7970</v>
      </c>
    </row>
    <row r="7" spans="1:5" x14ac:dyDescent="0.35">
      <c r="A7" s="5" t="s">
        <v>135</v>
      </c>
      <c r="B7" s="6">
        <v>4115</v>
      </c>
      <c r="C7" s="6">
        <v>2374</v>
      </c>
      <c r="D7" s="6">
        <v>2250</v>
      </c>
      <c r="E7" s="6">
        <v>8739</v>
      </c>
    </row>
    <row r="8" spans="1:5" x14ac:dyDescent="0.35">
      <c r="A8" s="5" t="s">
        <v>69</v>
      </c>
      <c r="B8" s="6">
        <v>2194</v>
      </c>
      <c r="C8" s="6">
        <v>2444</v>
      </c>
      <c r="D8" s="6">
        <v>2340</v>
      </c>
      <c r="E8" s="6">
        <v>6978</v>
      </c>
    </row>
    <row r="9" spans="1:5" x14ac:dyDescent="0.35">
      <c r="A9" s="5" t="s">
        <v>32</v>
      </c>
      <c r="B9" s="6">
        <v>3230</v>
      </c>
      <c r="C9" s="6">
        <v>2912.5</v>
      </c>
      <c r="D9" s="6">
        <v>2808</v>
      </c>
      <c r="E9" s="6">
        <v>8950.5</v>
      </c>
    </row>
    <row r="10" spans="1:5" x14ac:dyDescent="0.35">
      <c r="A10" s="5" t="s">
        <v>41</v>
      </c>
      <c r="B10" s="6">
        <v>1638</v>
      </c>
      <c r="C10" s="6">
        <v>2583</v>
      </c>
      <c r="D10" s="6">
        <v>3166.5</v>
      </c>
      <c r="E10" s="6">
        <v>7387.5</v>
      </c>
    </row>
    <row r="11" spans="1:5" x14ac:dyDescent="0.35">
      <c r="A11" s="5" t="s">
        <v>19</v>
      </c>
      <c r="B11" s="6">
        <v>1425</v>
      </c>
      <c r="C11" s="6">
        <v>1946</v>
      </c>
      <c r="D11" s="6">
        <v>3757</v>
      </c>
      <c r="E11" s="6">
        <v>7128</v>
      </c>
    </row>
    <row r="12" spans="1:5" x14ac:dyDescent="0.35">
      <c r="A12" s="5" t="s">
        <v>13</v>
      </c>
      <c r="B12" s="6">
        <v>3396.5</v>
      </c>
      <c r="C12" s="6">
        <v>2424.5</v>
      </c>
      <c r="D12" s="6">
        <v>2954.5</v>
      </c>
      <c r="E12" s="6">
        <v>8775.5</v>
      </c>
    </row>
    <row r="13" spans="1:5" x14ac:dyDescent="0.35">
      <c r="A13" s="5" t="s">
        <v>714</v>
      </c>
      <c r="B13" s="6">
        <v>20211</v>
      </c>
      <c r="C13" s="6">
        <v>20459</v>
      </c>
      <c r="D13" s="6">
        <v>21766.5</v>
      </c>
      <c r="E13" s="6">
        <v>62436.5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914C-389E-4D1B-84FF-E03FA5C94C63}">
  <dimension ref="A3:E7"/>
  <sheetViews>
    <sheetView workbookViewId="0">
      <selection activeCell="O5" sqref="O5"/>
    </sheetView>
  </sheetViews>
  <sheetFormatPr defaultRowHeight="14.5" x14ac:dyDescent="0.35"/>
  <cols>
    <col min="1" max="1" width="16.453125" bestFit="1" customWidth="1"/>
    <col min="2" max="2" width="15.6328125" bestFit="1" customWidth="1"/>
    <col min="3" max="3" width="10.36328125" bestFit="1" customWidth="1"/>
    <col min="4" max="4" width="12" bestFit="1" customWidth="1"/>
    <col min="5" max="5" width="10.36328125" bestFit="1" customWidth="1"/>
  </cols>
  <sheetData>
    <row r="3" spans="1:5" x14ac:dyDescent="0.35">
      <c r="A3" s="2" t="s">
        <v>716</v>
      </c>
      <c r="B3" s="2" t="s">
        <v>715</v>
      </c>
    </row>
    <row r="4" spans="1:5" x14ac:dyDescent="0.35">
      <c r="A4" s="3" t="s">
        <v>713</v>
      </c>
      <c r="B4" s="4" t="s">
        <v>49</v>
      </c>
      <c r="C4" s="4" t="s">
        <v>25</v>
      </c>
      <c r="D4" s="4" t="s">
        <v>15</v>
      </c>
      <c r="E4" s="4" t="s">
        <v>714</v>
      </c>
    </row>
    <row r="5" spans="1:5" x14ac:dyDescent="0.35">
      <c r="A5" s="5" t="s">
        <v>38</v>
      </c>
      <c r="B5" s="6">
        <v>8124.5</v>
      </c>
      <c r="C5" s="6">
        <v>10218</v>
      </c>
      <c r="D5" s="6">
        <v>11448</v>
      </c>
      <c r="E5" s="6">
        <v>29790.5</v>
      </c>
    </row>
    <row r="6" spans="1:5" x14ac:dyDescent="0.35">
      <c r="A6" s="5" t="s">
        <v>16</v>
      </c>
      <c r="B6" s="6">
        <v>12086.5</v>
      </c>
      <c r="C6" s="6">
        <v>10241</v>
      </c>
      <c r="D6" s="6">
        <v>10318.5</v>
      </c>
      <c r="E6" s="6">
        <v>32646</v>
      </c>
    </row>
    <row r="7" spans="1:5" x14ac:dyDescent="0.35">
      <c r="A7" s="5" t="s">
        <v>714</v>
      </c>
      <c r="B7" s="6">
        <v>20211</v>
      </c>
      <c r="C7" s="6">
        <v>20459</v>
      </c>
      <c r="D7" s="6">
        <v>21766.5</v>
      </c>
      <c r="E7" s="6">
        <v>62436.5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31CF-1DE3-43C0-A969-6C5FE24485BC}">
  <dimension ref="A3:B6"/>
  <sheetViews>
    <sheetView workbookViewId="0">
      <selection activeCell="L14" sqref="L14"/>
    </sheetView>
  </sheetViews>
  <sheetFormatPr defaultRowHeight="14.5" x14ac:dyDescent="0.35"/>
  <cols>
    <col min="1" max="1" width="12.453125" bestFit="1" customWidth="1"/>
    <col min="2" max="2" width="16.453125" bestFit="1" customWidth="1"/>
  </cols>
  <sheetData>
    <row r="3" spans="1:2" x14ac:dyDescent="0.35">
      <c r="A3" s="3" t="s">
        <v>713</v>
      </c>
      <c r="B3" s="4" t="s">
        <v>716</v>
      </c>
    </row>
    <row r="4" spans="1:2" x14ac:dyDescent="0.35">
      <c r="A4" s="5" t="s">
        <v>38</v>
      </c>
      <c r="B4" s="6">
        <v>29790.5</v>
      </c>
    </row>
    <row r="5" spans="1:2" x14ac:dyDescent="0.35">
      <c r="A5" s="5" t="s">
        <v>16</v>
      </c>
      <c r="B5" s="6">
        <v>32646</v>
      </c>
    </row>
    <row r="6" spans="1:2" x14ac:dyDescent="0.35">
      <c r="A6" s="5" t="s">
        <v>714</v>
      </c>
      <c r="B6" s="6">
        <v>62436.5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ED6C-3DFC-4C06-9B41-EA8020CEB9BF}">
  <dimension ref="A3:B12"/>
  <sheetViews>
    <sheetView workbookViewId="0">
      <selection activeCell="L8" sqref="L8"/>
    </sheetView>
  </sheetViews>
  <sheetFormatPr defaultRowHeight="14.5" x14ac:dyDescent="0.35"/>
  <cols>
    <col min="1" max="1" width="30.36328125" bestFit="1" customWidth="1"/>
    <col min="2" max="2" width="16.453125" bestFit="1" customWidth="1"/>
  </cols>
  <sheetData>
    <row r="3" spans="1:2" x14ac:dyDescent="0.35">
      <c r="A3" s="3" t="s">
        <v>713</v>
      </c>
      <c r="B3" s="4" t="s">
        <v>716</v>
      </c>
    </row>
    <row r="4" spans="1:2" x14ac:dyDescent="0.35">
      <c r="A4" s="5" t="s">
        <v>28</v>
      </c>
      <c r="B4" s="6">
        <v>6508</v>
      </c>
    </row>
    <row r="5" spans="1:2" x14ac:dyDescent="0.35">
      <c r="A5" s="5" t="s">
        <v>23</v>
      </c>
      <c r="B5" s="6">
        <v>7970</v>
      </c>
    </row>
    <row r="6" spans="1:2" x14ac:dyDescent="0.35">
      <c r="A6" s="5" t="s">
        <v>135</v>
      </c>
      <c r="B6" s="6">
        <v>8739</v>
      </c>
    </row>
    <row r="7" spans="1:2" x14ac:dyDescent="0.35">
      <c r="A7" s="5" t="s">
        <v>69</v>
      </c>
      <c r="B7" s="6">
        <v>6978</v>
      </c>
    </row>
    <row r="8" spans="1:2" x14ac:dyDescent="0.35">
      <c r="A8" s="5" t="s">
        <v>32</v>
      </c>
      <c r="B8" s="6">
        <v>8950.5</v>
      </c>
    </row>
    <row r="9" spans="1:2" x14ac:dyDescent="0.35">
      <c r="A9" s="5" t="s">
        <v>41</v>
      </c>
      <c r="B9" s="6">
        <v>7387.5</v>
      </c>
    </row>
    <row r="10" spans="1:2" x14ac:dyDescent="0.35">
      <c r="A10" s="5" t="s">
        <v>19</v>
      </c>
      <c r="B10" s="6">
        <v>7128</v>
      </c>
    </row>
    <row r="11" spans="1:2" x14ac:dyDescent="0.35">
      <c r="A11" s="5" t="s">
        <v>13</v>
      </c>
      <c r="B11" s="6">
        <v>8775.5</v>
      </c>
    </row>
    <row r="12" spans="1:2" x14ac:dyDescent="0.35">
      <c r="A12" s="5" t="s">
        <v>714</v>
      </c>
      <c r="B12" s="6">
        <v>62436.5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E94AD-E92E-4885-852C-E1A3A28F5830}">
  <dimension ref="A3:B7"/>
  <sheetViews>
    <sheetView workbookViewId="0">
      <selection activeCell="L10" sqref="L10"/>
    </sheetView>
  </sheetViews>
  <sheetFormatPr defaultRowHeight="14.5" x14ac:dyDescent="0.35"/>
  <cols>
    <col min="1" max="1" width="12.453125" bestFit="1" customWidth="1"/>
    <col min="2" max="2" width="16.453125" bestFit="1" customWidth="1"/>
  </cols>
  <sheetData>
    <row r="3" spans="1:2" x14ac:dyDescent="0.35">
      <c r="A3" s="3" t="s">
        <v>713</v>
      </c>
      <c r="B3" s="4" t="s">
        <v>716</v>
      </c>
    </row>
    <row r="4" spans="1:2" x14ac:dyDescent="0.35">
      <c r="A4" s="5" t="s">
        <v>49</v>
      </c>
      <c r="B4" s="6">
        <v>20211</v>
      </c>
    </row>
    <row r="5" spans="1:2" x14ac:dyDescent="0.35">
      <c r="A5" s="5" t="s">
        <v>25</v>
      </c>
      <c r="B5" s="6">
        <v>20459</v>
      </c>
    </row>
    <row r="6" spans="1:2" x14ac:dyDescent="0.35">
      <c r="A6" s="5" t="s">
        <v>15</v>
      </c>
      <c r="B6" s="6">
        <v>21766.5</v>
      </c>
    </row>
    <row r="7" spans="1:2" x14ac:dyDescent="0.35">
      <c r="A7" s="5" t="s">
        <v>714</v>
      </c>
      <c r="B7" s="6">
        <v>62436.5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DFDD-AF7F-4394-9753-2CFBAA7ABCD6}">
  <dimension ref="A1:K505"/>
  <sheetViews>
    <sheetView topLeftCell="A483" workbookViewId="0">
      <selection sqref="A1:K501"/>
    </sheetView>
  </sheetViews>
  <sheetFormatPr defaultRowHeight="14.5" x14ac:dyDescent="0.35"/>
  <cols>
    <col min="1" max="1" width="14.81640625" customWidth="1"/>
    <col min="2" max="2" width="20.90625" bestFit="1" customWidth="1"/>
    <col min="3" max="3" width="10.1796875" customWidth="1"/>
    <col min="4" max="4" width="8.7265625" customWidth="1"/>
    <col min="5" max="5" width="14.08984375" customWidth="1"/>
    <col min="6" max="6" width="10" customWidth="1"/>
    <col min="7" max="7" width="12.1796875" customWidth="1"/>
    <col min="8" max="8" width="16.81640625" customWidth="1"/>
    <col min="9" max="9" width="10" customWidth="1"/>
    <col min="10" max="10" width="16.90625" customWidth="1"/>
    <col min="11" max="11" width="17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K5" t="b">
        <v>1</v>
      </c>
    </row>
    <row r="6" spans="1:11" x14ac:dyDescent="0.3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5">
      <c r="A7" t="s">
        <v>34</v>
      </c>
      <c r="B7" t="s">
        <v>12</v>
      </c>
      <c r="C7" t="s">
        <v>13</v>
      </c>
      <c r="D7" t="s">
        <v>14</v>
      </c>
      <c r="E7">
        <v>20</v>
      </c>
      <c r="F7">
        <v>10</v>
      </c>
      <c r="G7">
        <v>200</v>
      </c>
      <c r="H7" t="s">
        <v>25</v>
      </c>
      <c r="I7" t="s">
        <v>16</v>
      </c>
      <c r="J7" s="1">
        <v>45260</v>
      </c>
      <c r="K7" t="b">
        <v>1</v>
      </c>
    </row>
    <row r="8" spans="1:11" x14ac:dyDescent="0.3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5">
      <c r="A9" t="s">
        <v>39</v>
      </c>
      <c r="B9" t="s">
        <v>40</v>
      </c>
      <c r="C9" t="s">
        <v>41</v>
      </c>
      <c r="D9" t="s">
        <v>42</v>
      </c>
      <c r="E9">
        <v>33.5</v>
      </c>
      <c r="F9">
        <v>1</v>
      </c>
      <c r="G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5">
      <c r="A10" t="s">
        <v>43</v>
      </c>
      <c r="B10" t="s">
        <v>44</v>
      </c>
      <c r="C10" t="s">
        <v>41</v>
      </c>
      <c r="D10" t="s">
        <v>45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5">
      <c r="A11" t="s">
        <v>46</v>
      </c>
      <c r="B11" t="s">
        <v>47</v>
      </c>
      <c r="C11" t="s">
        <v>23</v>
      </c>
      <c r="D11" t="s">
        <v>48</v>
      </c>
      <c r="E11">
        <v>36.5</v>
      </c>
      <c r="F11">
        <v>3</v>
      </c>
      <c r="G11">
        <v>109.5</v>
      </c>
      <c r="H11" t="s">
        <v>49</v>
      </c>
      <c r="I11" t="s">
        <v>16</v>
      </c>
      <c r="J11" s="1">
        <v>45365</v>
      </c>
      <c r="K11" t="b">
        <v>0</v>
      </c>
    </row>
    <row r="12" spans="1:11" x14ac:dyDescent="0.35">
      <c r="A12" t="s">
        <v>50</v>
      </c>
      <c r="B12" t="s">
        <v>18</v>
      </c>
      <c r="C12" t="s">
        <v>23</v>
      </c>
      <c r="D12" t="s">
        <v>51</v>
      </c>
      <c r="E12">
        <v>8</v>
      </c>
      <c r="F12">
        <v>9</v>
      </c>
      <c r="G12">
        <v>72</v>
      </c>
      <c r="H12" t="s">
        <v>49</v>
      </c>
      <c r="I12" t="s">
        <v>38</v>
      </c>
      <c r="J12" s="1">
        <v>45640</v>
      </c>
      <c r="K12" t="b">
        <v>1</v>
      </c>
    </row>
    <row r="13" spans="1:11" x14ac:dyDescent="0.35">
      <c r="A13" t="s">
        <v>52</v>
      </c>
      <c r="B13" t="s">
        <v>12</v>
      </c>
      <c r="C13" t="s">
        <v>19</v>
      </c>
      <c r="D13" t="s">
        <v>20</v>
      </c>
      <c r="E13">
        <v>6.5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5">
      <c r="A14" t="s">
        <v>53</v>
      </c>
      <c r="B14" t="s">
        <v>44</v>
      </c>
      <c r="C14" t="s">
        <v>32</v>
      </c>
      <c r="D14" t="s">
        <v>54</v>
      </c>
      <c r="E14">
        <v>6.5</v>
      </c>
      <c r="F14">
        <v>7</v>
      </c>
      <c r="G14">
        <v>45.5</v>
      </c>
      <c r="H14" t="s">
        <v>49</v>
      </c>
      <c r="I14" t="s">
        <v>16</v>
      </c>
      <c r="J14" s="1">
        <v>45178</v>
      </c>
      <c r="K14" t="b">
        <v>1</v>
      </c>
    </row>
    <row r="15" spans="1:11" x14ac:dyDescent="0.35">
      <c r="A15" t="s">
        <v>55</v>
      </c>
      <c r="B15" t="s">
        <v>56</v>
      </c>
      <c r="C15" t="s">
        <v>13</v>
      </c>
      <c r="D15" t="s">
        <v>57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5">
      <c r="A16" t="s">
        <v>58</v>
      </c>
      <c r="B16" t="s">
        <v>12</v>
      </c>
      <c r="C16" t="s">
        <v>19</v>
      </c>
      <c r="D16" t="s">
        <v>59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  <c r="K16" t="b">
        <v>1</v>
      </c>
    </row>
    <row r="17" spans="1:11" x14ac:dyDescent="0.35">
      <c r="A17" t="s">
        <v>60</v>
      </c>
      <c r="B17" t="s">
        <v>56</v>
      </c>
      <c r="C17" t="s">
        <v>28</v>
      </c>
      <c r="D17" t="s">
        <v>61</v>
      </c>
      <c r="E17">
        <v>24.5</v>
      </c>
      <c r="F17">
        <v>1</v>
      </c>
      <c r="G17">
        <v>24.5</v>
      </c>
      <c r="H17" t="s">
        <v>25</v>
      </c>
      <c r="I17" t="s">
        <v>38</v>
      </c>
      <c r="J17" s="1">
        <v>44692</v>
      </c>
      <c r="K17" t="b">
        <v>1</v>
      </c>
    </row>
    <row r="18" spans="1:11" x14ac:dyDescent="0.35">
      <c r="A18" t="s">
        <v>62</v>
      </c>
      <c r="B18" t="s">
        <v>44</v>
      </c>
      <c r="C18" t="s">
        <v>13</v>
      </c>
      <c r="D18" t="s">
        <v>63</v>
      </c>
      <c r="E18">
        <v>29</v>
      </c>
      <c r="F18">
        <v>8</v>
      </c>
      <c r="G18">
        <v>232</v>
      </c>
      <c r="H18" t="s">
        <v>49</v>
      </c>
      <c r="I18" t="s">
        <v>16</v>
      </c>
      <c r="J18" s="1">
        <v>45612</v>
      </c>
      <c r="K18" t="b">
        <v>1</v>
      </c>
    </row>
    <row r="19" spans="1:11" x14ac:dyDescent="0.35">
      <c r="A19" t="s">
        <v>64</v>
      </c>
      <c r="B19" t="s">
        <v>65</v>
      </c>
      <c r="C19" t="s">
        <v>19</v>
      </c>
      <c r="D19" t="s">
        <v>66</v>
      </c>
      <c r="E19">
        <v>27.5</v>
      </c>
      <c r="F19">
        <v>10</v>
      </c>
      <c r="G19">
        <v>275</v>
      </c>
      <c r="H19" t="s">
        <v>15</v>
      </c>
      <c r="I19" t="s">
        <v>16</v>
      </c>
      <c r="J19" s="1">
        <v>44668</v>
      </c>
      <c r="K19" t="b">
        <v>1</v>
      </c>
    </row>
    <row r="20" spans="1:11" x14ac:dyDescent="0.35">
      <c r="A20" t="s">
        <v>67</v>
      </c>
      <c r="B20" t="s">
        <v>68</v>
      </c>
      <c r="C20" t="s">
        <v>69</v>
      </c>
      <c r="D20" t="s">
        <v>70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5">
      <c r="A21" t="s">
        <v>71</v>
      </c>
      <c r="B21" t="s">
        <v>72</v>
      </c>
      <c r="C21" t="s">
        <v>41</v>
      </c>
      <c r="D21" t="s">
        <v>73</v>
      </c>
      <c r="E21">
        <v>35</v>
      </c>
      <c r="F21">
        <v>1</v>
      </c>
      <c r="G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5">
      <c r="A22" t="s">
        <v>74</v>
      </c>
      <c r="B22" t="s">
        <v>56</v>
      </c>
      <c r="C22" t="s">
        <v>28</v>
      </c>
      <c r="D22" t="s">
        <v>75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  <c r="K22" t="b">
        <v>1</v>
      </c>
    </row>
    <row r="23" spans="1:11" x14ac:dyDescent="0.35">
      <c r="A23" t="s">
        <v>76</v>
      </c>
      <c r="B23" t="s">
        <v>65</v>
      </c>
      <c r="C23" t="s">
        <v>19</v>
      </c>
      <c r="D23" t="s">
        <v>66</v>
      </c>
      <c r="E23">
        <v>35</v>
      </c>
      <c r="F23">
        <v>3</v>
      </c>
      <c r="G23">
        <v>105</v>
      </c>
      <c r="H23" t="s">
        <v>25</v>
      </c>
      <c r="I23" t="s">
        <v>38</v>
      </c>
      <c r="J23" s="1">
        <v>45228</v>
      </c>
      <c r="K23" t="b">
        <v>1</v>
      </c>
    </row>
    <row r="24" spans="1:11" x14ac:dyDescent="0.35">
      <c r="A24" t="s">
        <v>77</v>
      </c>
      <c r="B24" t="s">
        <v>78</v>
      </c>
      <c r="C24" t="s">
        <v>69</v>
      </c>
      <c r="D24" t="s">
        <v>79</v>
      </c>
      <c r="E24">
        <v>9.5</v>
      </c>
      <c r="F24">
        <v>7</v>
      </c>
      <c r="G24">
        <v>66.5</v>
      </c>
      <c r="H24" t="s">
        <v>49</v>
      </c>
      <c r="I24" t="s">
        <v>38</v>
      </c>
      <c r="J24" s="1">
        <v>44788</v>
      </c>
      <c r="K24" t="b">
        <v>1</v>
      </c>
    </row>
    <row r="25" spans="1:11" x14ac:dyDescent="0.35">
      <c r="A25" t="s">
        <v>80</v>
      </c>
      <c r="B25" t="s">
        <v>81</v>
      </c>
      <c r="C25" t="s">
        <v>32</v>
      </c>
      <c r="D25" t="s">
        <v>82</v>
      </c>
      <c r="E25">
        <v>18.5</v>
      </c>
      <c r="F25">
        <v>1</v>
      </c>
      <c r="G25">
        <v>18.5</v>
      </c>
      <c r="H25" t="s">
        <v>49</v>
      </c>
      <c r="I25" t="s">
        <v>16</v>
      </c>
      <c r="J25" s="1">
        <v>45199</v>
      </c>
      <c r="K25" t="b">
        <v>0</v>
      </c>
    </row>
    <row r="26" spans="1:11" x14ac:dyDescent="0.35">
      <c r="A26" t="s">
        <v>83</v>
      </c>
      <c r="B26" t="s">
        <v>84</v>
      </c>
      <c r="C26" t="s">
        <v>41</v>
      </c>
      <c r="D26" t="s">
        <v>85</v>
      </c>
      <c r="E26">
        <v>24.5</v>
      </c>
      <c r="F26">
        <v>2</v>
      </c>
      <c r="G26">
        <v>49</v>
      </c>
      <c r="H26" t="s">
        <v>49</v>
      </c>
      <c r="I26" t="s">
        <v>16</v>
      </c>
      <c r="J26" s="1">
        <v>45167</v>
      </c>
      <c r="K26" t="b">
        <v>0</v>
      </c>
    </row>
    <row r="27" spans="1:11" x14ac:dyDescent="0.35">
      <c r="A27" t="s">
        <v>86</v>
      </c>
      <c r="B27" t="s">
        <v>31</v>
      </c>
      <c r="C27" t="s">
        <v>41</v>
      </c>
      <c r="D27" t="s">
        <v>87</v>
      </c>
      <c r="E27">
        <v>39.5</v>
      </c>
      <c r="F27">
        <v>1</v>
      </c>
      <c r="G27">
        <v>39.5</v>
      </c>
      <c r="H27" t="s">
        <v>49</v>
      </c>
      <c r="I27" t="s">
        <v>16</v>
      </c>
      <c r="J27" s="1">
        <v>44812</v>
      </c>
      <c r="K27" t="b">
        <v>0</v>
      </c>
    </row>
    <row r="28" spans="1:11" x14ac:dyDescent="0.35">
      <c r="A28" t="s">
        <v>88</v>
      </c>
      <c r="B28" t="s">
        <v>89</v>
      </c>
      <c r="C28" t="s">
        <v>23</v>
      </c>
      <c r="D28" t="s">
        <v>90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5">
      <c r="A29" t="s">
        <v>91</v>
      </c>
      <c r="B29" t="s">
        <v>56</v>
      </c>
      <c r="C29" t="s">
        <v>41</v>
      </c>
      <c r="D29" t="s">
        <v>92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5">
      <c r="A30" t="s">
        <v>93</v>
      </c>
      <c r="B30" t="s">
        <v>94</v>
      </c>
      <c r="C30" t="s">
        <v>32</v>
      </c>
      <c r="D30" t="s">
        <v>95</v>
      </c>
      <c r="E30">
        <v>24.5</v>
      </c>
      <c r="F30">
        <v>10</v>
      </c>
      <c r="G30">
        <v>245</v>
      </c>
      <c r="H30" t="s">
        <v>49</v>
      </c>
      <c r="I30" t="s">
        <v>38</v>
      </c>
      <c r="J30" s="1">
        <v>44857</v>
      </c>
      <c r="K30" t="b">
        <v>1</v>
      </c>
    </row>
    <row r="31" spans="1:11" x14ac:dyDescent="0.35">
      <c r="A31" t="s">
        <v>96</v>
      </c>
      <c r="B31" t="s">
        <v>89</v>
      </c>
      <c r="C31" t="s">
        <v>13</v>
      </c>
      <c r="D31" t="s">
        <v>97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5">
      <c r="A32" t="s">
        <v>98</v>
      </c>
      <c r="B32" t="s">
        <v>31</v>
      </c>
      <c r="C32" t="s">
        <v>32</v>
      </c>
      <c r="D32" t="s">
        <v>99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5">
      <c r="A33" t="s">
        <v>100</v>
      </c>
      <c r="B33" t="s">
        <v>18</v>
      </c>
      <c r="C33" t="s">
        <v>13</v>
      </c>
      <c r="D33" t="s">
        <v>101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5">
      <c r="A34" t="s">
        <v>102</v>
      </c>
      <c r="B34" t="s">
        <v>103</v>
      </c>
      <c r="C34" t="s">
        <v>32</v>
      </c>
      <c r="D34" t="s">
        <v>99</v>
      </c>
      <c r="E34">
        <v>24.5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5">
      <c r="A35" t="s">
        <v>104</v>
      </c>
      <c r="B35" t="s">
        <v>105</v>
      </c>
      <c r="C35" t="s">
        <v>69</v>
      </c>
      <c r="D35" t="s">
        <v>106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  <c r="K35" t="b">
        <v>1</v>
      </c>
    </row>
    <row r="36" spans="1:11" x14ac:dyDescent="0.35">
      <c r="A36" t="s">
        <v>107</v>
      </c>
      <c r="B36" t="s">
        <v>27</v>
      </c>
      <c r="C36" t="s">
        <v>13</v>
      </c>
      <c r="D36" t="s">
        <v>101</v>
      </c>
      <c r="E36">
        <v>23</v>
      </c>
      <c r="F36">
        <v>1</v>
      </c>
      <c r="G36">
        <v>23</v>
      </c>
      <c r="H36" t="s">
        <v>49</v>
      </c>
      <c r="I36" t="s">
        <v>38</v>
      </c>
      <c r="J36" s="1">
        <v>44975</v>
      </c>
      <c r="K36" t="b">
        <v>1</v>
      </c>
    </row>
    <row r="37" spans="1:11" x14ac:dyDescent="0.35">
      <c r="A37" t="s">
        <v>108</v>
      </c>
      <c r="B37" t="s">
        <v>65</v>
      </c>
      <c r="C37" t="s">
        <v>28</v>
      </c>
      <c r="D37" t="s">
        <v>109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5">
      <c r="A38" t="s">
        <v>110</v>
      </c>
      <c r="B38" t="s">
        <v>22</v>
      </c>
      <c r="C38" t="s">
        <v>32</v>
      </c>
      <c r="D38" t="s">
        <v>111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5">
      <c r="A39" t="s">
        <v>112</v>
      </c>
      <c r="B39" t="s">
        <v>113</v>
      </c>
      <c r="C39" t="s">
        <v>41</v>
      </c>
      <c r="D39" t="s">
        <v>114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5">
      <c r="A40" t="s">
        <v>115</v>
      </c>
      <c r="B40" t="s">
        <v>56</v>
      </c>
      <c r="C40" t="s">
        <v>28</v>
      </c>
      <c r="D40" t="s">
        <v>116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  <c r="K40" t="b">
        <v>1</v>
      </c>
    </row>
    <row r="41" spans="1:11" x14ac:dyDescent="0.35">
      <c r="A41" t="s">
        <v>117</v>
      </c>
      <c r="B41" t="s">
        <v>118</v>
      </c>
      <c r="C41" t="s">
        <v>23</v>
      </c>
      <c r="D41" t="s">
        <v>119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5">
      <c r="A42" t="s">
        <v>120</v>
      </c>
      <c r="B42" t="s">
        <v>121</v>
      </c>
      <c r="C42" t="s">
        <v>28</v>
      </c>
      <c r="D42" t="s">
        <v>122</v>
      </c>
      <c r="E42">
        <v>36.5</v>
      </c>
      <c r="F42">
        <v>7</v>
      </c>
      <c r="G42">
        <v>255.5</v>
      </c>
      <c r="H42" t="s">
        <v>49</v>
      </c>
      <c r="I42" t="s">
        <v>16</v>
      </c>
      <c r="J42" s="1">
        <v>45077</v>
      </c>
      <c r="K42" t="b">
        <v>1</v>
      </c>
    </row>
    <row r="43" spans="1:11" x14ac:dyDescent="0.35">
      <c r="A43" t="s">
        <v>123</v>
      </c>
      <c r="B43" t="s">
        <v>121</v>
      </c>
      <c r="C43" t="s">
        <v>69</v>
      </c>
      <c r="D43" t="s">
        <v>124</v>
      </c>
      <c r="E43">
        <v>18.5</v>
      </c>
      <c r="F43">
        <v>5</v>
      </c>
      <c r="G43">
        <v>92.5</v>
      </c>
      <c r="H43" t="s">
        <v>49</v>
      </c>
      <c r="I43" t="s">
        <v>16</v>
      </c>
      <c r="J43" s="1">
        <v>44774</v>
      </c>
      <c r="K43" t="b">
        <v>1</v>
      </c>
    </row>
    <row r="44" spans="1:11" x14ac:dyDescent="0.35">
      <c r="A44" t="s">
        <v>125</v>
      </c>
      <c r="B44" t="s">
        <v>47</v>
      </c>
      <c r="C44" t="s">
        <v>23</v>
      </c>
      <c r="D44" t="s">
        <v>126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  <c r="K44" t="b">
        <v>1</v>
      </c>
    </row>
    <row r="45" spans="1:11" x14ac:dyDescent="0.35">
      <c r="A45" t="s">
        <v>127</v>
      </c>
      <c r="B45" t="s">
        <v>128</v>
      </c>
      <c r="C45" t="s">
        <v>28</v>
      </c>
      <c r="D45" t="s">
        <v>129</v>
      </c>
      <c r="E45">
        <v>15.5</v>
      </c>
      <c r="F45">
        <v>3</v>
      </c>
      <c r="G45">
        <v>46.5</v>
      </c>
      <c r="H45" t="s">
        <v>49</v>
      </c>
      <c r="I45" t="s">
        <v>38</v>
      </c>
      <c r="J45" s="1">
        <v>45390</v>
      </c>
      <c r="K45" t="b">
        <v>0</v>
      </c>
    </row>
    <row r="46" spans="1:11" x14ac:dyDescent="0.35">
      <c r="A46" t="s">
        <v>130</v>
      </c>
      <c r="B46" t="s">
        <v>47</v>
      </c>
      <c r="C46" t="s">
        <v>32</v>
      </c>
      <c r="D46" t="s">
        <v>131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  <c r="K46" t="b">
        <v>0</v>
      </c>
    </row>
    <row r="47" spans="1:11" x14ac:dyDescent="0.35">
      <c r="A47" t="s">
        <v>132</v>
      </c>
      <c r="B47" t="s">
        <v>103</v>
      </c>
      <c r="C47" t="s">
        <v>32</v>
      </c>
      <c r="D47" t="s">
        <v>133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5">
      <c r="A48" t="s">
        <v>134</v>
      </c>
      <c r="B48" t="s">
        <v>81</v>
      </c>
      <c r="C48" t="s">
        <v>135</v>
      </c>
      <c r="D48" t="s">
        <v>136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5">
      <c r="A49" t="s">
        <v>137</v>
      </c>
      <c r="B49" t="s">
        <v>105</v>
      </c>
      <c r="C49" t="s">
        <v>13</v>
      </c>
      <c r="D49" t="s">
        <v>138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5">
      <c r="A50" t="s">
        <v>139</v>
      </c>
      <c r="B50" t="s">
        <v>84</v>
      </c>
      <c r="C50" t="s">
        <v>23</v>
      </c>
      <c r="D50" t="s">
        <v>140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5">
      <c r="A51" t="s">
        <v>141</v>
      </c>
      <c r="B51" t="s">
        <v>47</v>
      </c>
      <c r="C51" t="s">
        <v>19</v>
      </c>
      <c r="D51" t="s">
        <v>59</v>
      </c>
      <c r="E51">
        <v>27.5</v>
      </c>
      <c r="F51">
        <v>7</v>
      </c>
      <c r="G51">
        <v>192.5</v>
      </c>
      <c r="H51" t="s">
        <v>49</v>
      </c>
      <c r="I51" t="s">
        <v>38</v>
      </c>
      <c r="J51" s="1">
        <v>44632</v>
      </c>
      <c r="K51" t="b">
        <v>0</v>
      </c>
    </row>
    <row r="52" spans="1:11" x14ac:dyDescent="0.35">
      <c r="A52" t="s">
        <v>142</v>
      </c>
      <c r="B52" t="s">
        <v>31</v>
      </c>
      <c r="C52" t="s">
        <v>23</v>
      </c>
      <c r="D52" t="s">
        <v>90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5">
      <c r="A53" t="s">
        <v>143</v>
      </c>
      <c r="B53" t="s">
        <v>44</v>
      </c>
      <c r="C53" t="s">
        <v>135</v>
      </c>
      <c r="D53" t="s">
        <v>144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5">
      <c r="A54" t="s">
        <v>145</v>
      </c>
      <c r="B54" t="s">
        <v>40</v>
      </c>
      <c r="C54" t="s">
        <v>32</v>
      </c>
      <c r="D54" t="s">
        <v>133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5">
      <c r="A55" t="s">
        <v>146</v>
      </c>
      <c r="B55" t="s">
        <v>128</v>
      </c>
      <c r="C55" t="s">
        <v>19</v>
      </c>
      <c r="D55" t="s">
        <v>66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  <c r="K55" t="b">
        <v>0</v>
      </c>
    </row>
    <row r="56" spans="1:11" x14ac:dyDescent="0.35">
      <c r="A56" t="s">
        <v>147</v>
      </c>
      <c r="B56" t="s">
        <v>72</v>
      </c>
      <c r="C56" t="s">
        <v>41</v>
      </c>
      <c r="D56" t="s">
        <v>148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5">
      <c r="A57" t="s">
        <v>149</v>
      </c>
      <c r="B57" t="s">
        <v>65</v>
      </c>
      <c r="C57" t="s">
        <v>41</v>
      </c>
      <c r="D57" t="s">
        <v>150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  <c r="K57" t="b">
        <v>0</v>
      </c>
    </row>
    <row r="58" spans="1:11" x14ac:dyDescent="0.35">
      <c r="A58" t="s">
        <v>151</v>
      </c>
      <c r="B58" t="s">
        <v>105</v>
      </c>
      <c r="C58" t="s">
        <v>135</v>
      </c>
      <c r="D58" t="s">
        <v>144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5">
      <c r="A59" t="s">
        <v>152</v>
      </c>
      <c r="B59" t="s">
        <v>36</v>
      </c>
      <c r="C59" t="s">
        <v>135</v>
      </c>
      <c r="D59" t="s">
        <v>153</v>
      </c>
      <c r="E59">
        <v>26</v>
      </c>
      <c r="F59">
        <v>9</v>
      </c>
      <c r="G59">
        <v>234</v>
      </c>
      <c r="H59" t="s">
        <v>49</v>
      </c>
      <c r="I59" t="s">
        <v>16</v>
      </c>
      <c r="J59" s="1">
        <v>45495</v>
      </c>
      <c r="K59" t="b">
        <v>1</v>
      </c>
    </row>
    <row r="60" spans="1:11" x14ac:dyDescent="0.35">
      <c r="A60" t="s">
        <v>154</v>
      </c>
      <c r="B60" t="s">
        <v>22</v>
      </c>
      <c r="C60" t="s">
        <v>41</v>
      </c>
      <c r="D60" t="s">
        <v>45</v>
      </c>
      <c r="E60">
        <v>27.5</v>
      </c>
      <c r="F60">
        <v>9</v>
      </c>
      <c r="G60">
        <v>247.5</v>
      </c>
      <c r="H60" t="s">
        <v>49</v>
      </c>
      <c r="I60" t="s">
        <v>16</v>
      </c>
      <c r="J60" s="1">
        <v>45541</v>
      </c>
      <c r="K60" t="b">
        <v>0</v>
      </c>
    </row>
    <row r="61" spans="1:11" x14ac:dyDescent="0.35">
      <c r="A61" t="s">
        <v>155</v>
      </c>
      <c r="B61" t="s">
        <v>12</v>
      </c>
      <c r="C61" t="s">
        <v>19</v>
      </c>
      <c r="D61" t="s">
        <v>156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5">
      <c r="A62" t="s">
        <v>157</v>
      </c>
      <c r="B62" t="s">
        <v>78</v>
      </c>
      <c r="C62" t="s">
        <v>135</v>
      </c>
      <c r="D62" t="s">
        <v>158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5">
      <c r="A63" t="s">
        <v>159</v>
      </c>
      <c r="B63" t="s">
        <v>47</v>
      </c>
      <c r="C63" t="s">
        <v>19</v>
      </c>
      <c r="D63" t="s">
        <v>59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5">
      <c r="A64" t="s">
        <v>160</v>
      </c>
      <c r="B64" t="s">
        <v>128</v>
      </c>
      <c r="C64" t="s">
        <v>13</v>
      </c>
      <c r="D64" t="s">
        <v>138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5">
      <c r="A65" t="s">
        <v>161</v>
      </c>
      <c r="B65" t="s">
        <v>81</v>
      </c>
      <c r="C65" t="s">
        <v>135</v>
      </c>
      <c r="D65" t="s">
        <v>162</v>
      </c>
      <c r="E65">
        <v>36.5</v>
      </c>
      <c r="F65">
        <v>7</v>
      </c>
      <c r="G65">
        <v>255.5</v>
      </c>
      <c r="H65" t="s">
        <v>49</v>
      </c>
      <c r="I65" t="s">
        <v>38</v>
      </c>
      <c r="J65" s="1">
        <v>44636</v>
      </c>
      <c r="K65" t="b">
        <v>0</v>
      </c>
    </row>
    <row r="66" spans="1:11" x14ac:dyDescent="0.35">
      <c r="A66" t="s">
        <v>163</v>
      </c>
      <c r="B66" t="s">
        <v>72</v>
      </c>
      <c r="C66" t="s">
        <v>32</v>
      </c>
      <c r="D66" t="s">
        <v>164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5">
      <c r="A67" t="s">
        <v>165</v>
      </c>
      <c r="B67" t="s">
        <v>68</v>
      </c>
      <c r="C67" t="s">
        <v>23</v>
      </c>
      <c r="D67" t="s">
        <v>166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  <c r="K67" t="b">
        <v>0</v>
      </c>
    </row>
    <row r="68" spans="1:11" x14ac:dyDescent="0.35">
      <c r="A68" t="s">
        <v>167</v>
      </c>
      <c r="B68" t="s">
        <v>72</v>
      </c>
      <c r="C68" t="s">
        <v>13</v>
      </c>
      <c r="D68" t="s">
        <v>168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5">
      <c r="A69" t="s">
        <v>169</v>
      </c>
      <c r="B69" t="s">
        <v>89</v>
      </c>
      <c r="C69" t="s">
        <v>13</v>
      </c>
      <c r="D69" t="s">
        <v>170</v>
      </c>
      <c r="E69">
        <v>21.5</v>
      </c>
      <c r="F69">
        <v>8</v>
      </c>
      <c r="G69">
        <v>172</v>
      </c>
      <c r="H69" t="s">
        <v>49</v>
      </c>
      <c r="I69" t="s">
        <v>38</v>
      </c>
      <c r="J69" s="1">
        <v>45257</v>
      </c>
      <c r="K69" t="b">
        <v>0</v>
      </c>
    </row>
    <row r="70" spans="1:11" x14ac:dyDescent="0.35">
      <c r="A70" t="s">
        <v>171</v>
      </c>
      <c r="B70" t="s">
        <v>172</v>
      </c>
      <c r="C70" t="s">
        <v>23</v>
      </c>
      <c r="D70" t="s">
        <v>90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  <c r="K70" t="b">
        <v>0</v>
      </c>
    </row>
    <row r="71" spans="1:11" x14ac:dyDescent="0.35">
      <c r="A71" t="s">
        <v>173</v>
      </c>
      <c r="B71" t="s">
        <v>118</v>
      </c>
      <c r="C71" t="s">
        <v>32</v>
      </c>
      <c r="D71" t="s">
        <v>174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5">
      <c r="A72" t="s">
        <v>175</v>
      </c>
      <c r="B72" t="s">
        <v>68</v>
      </c>
      <c r="C72" t="s">
        <v>13</v>
      </c>
      <c r="D72" t="s">
        <v>176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5">
      <c r="A73" t="s">
        <v>177</v>
      </c>
      <c r="B73" t="s">
        <v>47</v>
      </c>
      <c r="C73" t="s">
        <v>28</v>
      </c>
      <c r="D73" t="s">
        <v>178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  <c r="K73" t="b">
        <v>0</v>
      </c>
    </row>
    <row r="74" spans="1:11" x14ac:dyDescent="0.35">
      <c r="A74" t="s">
        <v>179</v>
      </c>
      <c r="B74" t="s">
        <v>47</v>
      </c>
      <c r="C74" t="s">
        <v>41</v>
      </c>
      <c r="D74" t="s">
        <v>180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5">
      <c r="A75" t="s">
        <v>181</v>
      </c>
      <c r="B75" t="s">
        <v>40</v>
      </c>
      <c r="C75" t="s">
        <v>13</v>
      </c>
      <c r="D75" t="s">
        <v>182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5">
      <c r="A76" t="s">
        <v>183</v>
      </c>
      <c r="B76" t="s">
        <v>105</v>
      </c>
      <c r="C76" t="s">
        <v>28</v>
      </c>
      <c r="D76" t="s">
        <v>75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5">
      <c r="A77" t="s">
        <v>184</v>
      </c>
      <c r="B77" t="s">
        <v>22</v>
      </c>
      <c r="C77" t="s">
        <v>19</v>
      </c>
      <c r="D77" t="s">
        <v>66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  <c r="K77" t="b">
        <v>0</v>
      </c>
    </row>
    <row r="78" spans="1:11" x14ac:dyDescent="0.35">
      <c r="A78" t="s">
        <v>185</v>
      </c>
      <c r="B78" t="s">
        <v>22</v>
      </c>
      <c r="C78" t="s">
        <v>28</v>
      </c>
      <c r="D78" t="s">
        <v>122</v>
      </c>
      <c r="E78">
        <v>36.5</v>
      </c>
      <c r="F78">
        <v>6</v>
      </c>
      <c r="G78">
        <v>219</v>
      </c>
      <c r="H78" t="s">
        <v>49</v>
      </c>
      <c r="I78" t="s">
        <v>38</v>
      </c>
      <c r="J78" s="1">
        <v>44964</v>
      </c>
      <c r="K78" t="b">
        <v>1</v>
      </c>
    </row>
    <row r="79" spans="1:11" x14ac:dyDescent="0.35">
      <c r="A79" t="s">
        <v>186</v>
      </c>
      <c r="B79" t="s">
        <v>12</v>
      </c>
      <c r="C79" t="s">
        <v>135</v>
      </c>
      <c r="D79" t="s">
        <v>187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  <c r="K79" t="b">
        <v>0</v>
      </c>
    </row>
    <row r="80" spans="1:11" x14ac:dyDescent="0.35">
      <c r="A80" t="s">
        <v>188</v>
      </c>
      <c r="B80" t="s">
        <v>128</v>
      </c>
      <c r="C80" t="s">
        <v>32</v>
      </c>
      <c r="D80" t="s">
        <v>189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  <c r="K80" t="b">
        <v>1</v>
      </c>
    </row>
    <row r="81" spans="1:11" x14ac:dyDescent="0.35">
      <c r="A81" t="s">
        <v>190</v>
      </c>
      <c r="B81" t="s">
        <v>103</v>
      </c>
      <c r="C81" t="s">
        <v>135</v>
      </c>
      <c r="D81" t="s">
        <v>162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5">
      <c r="A82" t="s">
        <v>191</v>
      </c>
      <c r="B82" t="s">
        <v>36</v>
      </c>
      <c r="C82" t="s">
        <v>13</v>
      </c>
      <c r="D82" t="s">
        <v>63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  <c r="K82" t="b">
        <v>0</v>
      </c>
    </row>
    <row r="83" spans="1:11" x14ac:dyDescent="0.35">
      <c r="A83" t="s">
        <v>192</v>
      </c>
      <c r="B83" t="s">
        <v>78</v>
      </c>
      <c r="C83" t="s">
        <v>69</v>
      </c>
      <c r="D83" t="s">
        <v>106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5">
      <c r="A84" t="s">
        <v>193</v>
      </c>
      <c r="B84" t="s">
        <v>12</v>
      </c>
      <c r="C84" t="s">
        <v>41</v>
      </c>
      <c r="D84" t="s">
        <v>194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5">
      <c r="A85" t="s">
        <v>195</v>
      </c>
      <c r="B85" t="s">
        <v>47</v>
      </c>
      <c r="C85" t="s">
        <v>13</v>
      </c>
      <c r="D85" t="s">
        <v>63</v>
      </c>
      <c r="E85">
        <v>15.5</v>
      </c>
      <c r="F85">
        <v>1</v>
      </c>
      <c r="G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5">
      <c r="A86" t="s">
        <v>196</v>
      </c>
      <c r="B86" t="s">
        <v>81</v>
      </c>
      <c r="C86" t="s">
        <v>13</v>
      </c>
      <c r="D86" t="s">
        <v>197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5">
      <c r="A87" t="s">
        <v>198</v>
      </c>
      <c r="B87" t="s">
        <v>94</v>
      </c>
      <c r="C87" t="s">
        <v>32</v>
      </c>
      <c r="D87" t="s">
        <v>199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  <c r="K87" t="b">
        <v>1</v>
      </c>
    </row>
    <row r="88" spans="1:11" x14ac:dyDescent="0.35">
      <c r="A88" t="s">
        <v>200</v>
      </c>
      <c r="B88" t="s">
        <v>68</v>
      </c>
      <c r="C88" t="s">
        <v>41</v>
      </c>
      <c r="D88" t="s">
        <v>73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  <c r="K88" t="b">
        <v>0</v>
      </c>
    </row>
    <row r="89" spans="1:11" x14ac:dyDescent="0.35">
      <c r="A89" t="s">
        <v>201</v>
      </c>
      <c r="B89" t="s">
        <v>89</v>
      </c>
      <c r="C89" t="s">
        <v>41</v>
      </c>
      <c r="D89" t="s">
        <v>87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5">
      <c r="A90" t="s">
        <v>202</v>
      </c>
      <c r="B90" t="s">
        <v>128</v>
      </c>
      <c r="C90" t="s">
        <v>19</v>
      </c>
      <c r="D90" t="s">
        <v>203</v>
      </c>
      <c r="E90">
        <v>15.5</v>
      </c>
      <c r="F90">
        <v>8</v>
      </c>
      <c r="G90">
        <v>124</v>
      </c>
      <c r="H90" t="s">
        <v>49</v>
      </c>
      <c r="I90" t="s">
        <v>16</v>
      </c>
      <c r="J90" s="1">
        <v>45463</v>
      </c>
      <c r="K90" t="b">
        <v>0</v>
      </c>
    </row>
    <row r="91" spans="1:11" x14ac:dyDescent="0.35">
      <c r="A91" t="s">
        <v>204</v>
      </c>
      <c r="B91" t="s">
        <v>18</v>
      </c>
      <c r="C91" t="s">
        <v>32</v>
      </c>
      <c r="D91" t="s">
        <v>205</v>
      </c>
      <c r="E91">
        <v>9.5</v>
      </c>
      <c r="F91">
        <v>3</v>
      </c>
      <c r="G91">
        <v>28.5</v>
      </c>
      <c r="H91" t="s">
        <v>49</v>
      </c>
      <c r="I91" t="s">
        <v>38</v>
      </c>
      <c r="J91" s="1">
        <v>45524</v>
      </c>
      <c r="K91" t="b">
        <v>0</v>
      </c>
    </row>
    <row r="92" spans="1:11" x14ac:dyDescent="0.35">
      <c r="A92" t="s">
        <v>206</v>
      </c>
      <c r="B92" t="s">
        <v>118</v>
      </c>
      <c r="C92" t="s">
        <v>28</v>
      </c>
      <c r="D92" t="s">
        <v>61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5">
      <c r="A93" t="s">
        <v>207</v>
      </c>
      <c r="B93" t="s">
        <v>89</v>
      </c>
      <c r="C93" t="s">
        <v>13</v>
      </c>
      <c r="D93" t="s">
        <v>208</v>
      </c>
      <c r="E93">
        <v>9.5</v>
      </c>
      <c r="F93">
        <v>5</v>
      </c>
      <c r="G93">
        <v>47.5</v>
      </c>
      <c r="H93" t="s">
        <v>49</v>
      </c>
      <c r="I93" t="s">
        <v>16</v>
      </c>
      <c r="J93" s="1">
        <v>45547</v>
      </c>
      <c r="K93" t="b">
        <v>0</v>
      </c>
    </row>
    <row r="94" spans="1:11" x14ac:dyDescent="0.35">
      <c r="A94" t="s">
        <v>209</v>
      </c>
      <c r="B94" t="s">
        <v>103</v>
      </c>
      <c r="C94" t="s">
        <v>13</v>
      </c>
      <c r="D94" t="s">
        <v>170</v>
      </c>
      <c r="E94">
        <v>21.5</v>
      </c>
      <c r="F94">
        <v>9</v>
      </c>
      <c r="G94">
        <v>193.5</v>
      </c>
      <c r="H94" t="s">
        <v>49</v>
      </c>
      <c r="I94" t="s">
        <v>38</v>
      </c>
      <c r="J94" s="1">
        <v>45048</v>
      </c>
      <c r="K94" t="b">
        <v>1</v>
      </c>
    </row>
    <row r="95" spans="1:11" x14ac:dyDescent="0.35">
      <c r="A95" t="s">
        <v>210</v>
      </c>
      <c r="B95" t="s">
        <v>118</v>
      </c>
      <c r="C95" t="s">
        <v>19</v>
      </c>
      <c r="D95" t="s">
        <v>211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5">
      <c r="A96" t="s">
        <v>212</v>
      </c>
      <c r="B96" t="s">
        <v>89</v>
      </c>
      <c r="C96" t="s">
        <v>135</v>
      </c>
      <c r="D96" t="s">
        <v>213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5">
      <c r="A97" t="s">
        <v>214</v>
      </c>
      <c r="B97" t="s">
        <v>94</v>
      </c>
      <c r="C97" t="s">
        <v>69</v>
      </c>
      <c r="D97" t="s">
        <v>79</v>
      </c>
      <c r="E97">
        <v>9.5</v>
      </c>
      <c r="F97">
        <v>8</v>
      </c>
      <c r="G97">
        <v>76</v>
      </c>
      <c r="H97" t="s">
        <v>49</v>
      </c>
      <c r="I97" t="s">
        <v>38</v>
      </c>
      <c r="J97" s="1">
        <v>45471</v>
      </c>
      <c r="K97" t="b">
        <v>0</v>
      </c>
    </row>
    <row r="98" spans="1:11" x14ac:dyDescent="0.35">
      <c r="A98" t="s">
        <v>215</v>
      </c>
      <c r="B98" t="s">
        <v>65</v>
      </c>
      <c r="C98" t="s">
        <v>69</v>
      </c>
      <c r="D98" t="s">
        <v>216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  <c r="K98" t="b">
        <v>0</v>
      </c>
    </row>
    <row r="99" spans="1:11" x14ac:dyDescent="0.35">
      <c r="A99" t="s">
        <v>217</v>
      </c>
      <c r="B99" t="s">
        <v>72</v>
      </c>
      <c r="C99" t="s">
        <v>23</v>
      </c>
      <c r="D99" t="s">
        <v>218</v>
      </c>
      <c r="E99">
        <v>35</v>
      </c>
      <c r="F99">
        <v>4</v>
      </c>
      <c r="G99">
        <v>140</v>
      </c>
      <c r="H99" t="s">
        <v>49</v>
      </c>
      <c r="I99" t="s">
        <v>38</v>
      </c>
      <c r="J99" s="1">
        <v>45387</v>
      </c>
      <c r="K99" t="b">
        <v>0</v>
      </c>
    </row>
    <row r="100" spans="1:11" x14ac:dyDescent="0.35">
      <c r="A100" t="s">
        <v>219</v>
      </c>
      <c r="B100" t="s">
        <v>40</v>
      </c>
      <c r="C100" t="s">
        <v>32</v>
      </c>
      <c r="D100" t="s">
        <v>99</v>
      </c>
      <c r="E100">
        <v>20</v>
      </c>
      <c r="F100">
        <v>6</v>
      </c>
      <c r="G100">
        <v>120</v>
      </c>
      <c r="H100" t="s">
        <v>49</v>
      </c>
      <c r="I100" t="s">
        <v>16</v>
      </c>
      <c r="J100" s="1">
        <v>44590</v>
      </c>
      <c r="K100" t="b">
        <v>1</v>
      </c>
    </row>
    <row r="101" spans="1:11" x14ac:dyDescent="0.35">
      <c r="A101" t="s">
        <v>220</v>
      </c>
      <c r="B101" t="s">
        <v>47</v>
      </c>
      <c r="C101" t="s">
        <v>32</v>
      </c>
      <c r="D101" t="s">
        <v>174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  <c r="K101" t="b">
        <v>1</v>
      </c>
    </row>
    <row r="102" spans="1:11" x14ac:dyDescent="0.35">
      <c r="A102" t="s">
        <v>221</v>
      </c>
      <c r="B102" t="s">
        <v>36</v>
      </c>
      <c r="C102" t="s">
        <v>32</v>
      </c>
      <c r="D102" t="s">
        <v>189</v>
      </c>
      <c r="E102">
        <v>33.5</v>
      </c>
      <c r="F102">
        <v>10</v>
      </c>
      <c r="G102">
        <v>335</v>
      </c>
      <c r="H102" t="s">
        <v>49</v>
      </c>
      <c r="I102" t="s">
        <v>16</v>
      </c>
      <c r="J102" s="1">
        <v>45481</v>
      </c>
      <c r="K102" t="b">
        <v>0</v>
      </c>
    </row>
    <row r="103" spans="1:11" x14ac:dyDescent="0.35">
      <c r="A103" t="s">
        <v>222</v>
      </c>
      <c r="B103" t="s">
        <v>72</v>
      </c>
      <c r="C103" t="s">
        <v>13</v>
      </c>
      <c r="D103" t="s">
        <v>223</v>
      </c>
      <c r="E103">
        <v>27.5</v>
      </c>
      <c r="F103">
        <v>6</v>
      </c>
      <c r="G103">
        <v>165</v>
      </c>
      <c r="H103" t="s">
        <v>49</v>
      </c>
      <c r="I103" t="s">
        <v>38</v>
      </c>
      <c r="J103" s="1">
        <v>45237</v>
      </c>
      <c r="K103" t="b">
        <v>0</v>
      </c>
    </row>
    <row r="104" spans="1:11" x14ac:dyDescent="0.35">
      <c r="A104" t="s">
        <v>224</v>
      </c>
      <c r="B104" t="s">
        <v>81</v>
      </c>
      <c r="C104" t="s">
        <v>32</v>
      </c>
      <c r="D104" t="s">
        <v>174</v>
      </c>
      <c r="E104">
        <v>30.5</v>
      </c>
      <c r="F104">
        <v>10</v>
      </c>
      <c r="G104">
        <v>305</v>
      </c>
      <c r="H104" t="s">
        <v>49</v>
      </c>
      <c r="I104" t="s">
        <v>16</v>
      </c>
      <c r="J104" s="1">
        <v>45247</v>
      </c>
      <c r="K104" t="b">
        <v>0</v>
      </c>
    </row>
    <row r="105" spans="1:11" x14ac:dyDescent="0.35">
      <c r="A105" t="s">
        <v>225</v>
      </c>
      <c r="B105" t="s">
        <v>27</v>
      </c>
      <c r="C105" t="s">
        <v>135</v>
      </c>
      <c r="D105" t="s">
        <v>226</v>
      </c>
      <c r="E105">
        <v>41</v>
      </c>
      <c r="F105">
        <v>1</v>
      </c>
      <c r="G105">
        <v>41</v>
      </c>
      <c r="H105" t="s">
        <v>49</v>
      </c>
      <c r="I105" t="s">
        <v>38</v>
      </c>
      <c r="J105" s="1">
        <v>45601</v>
      </c>
      <c r="K105" t="b">
        <v>0</v>
      </c>
    </row>
    <row r="106" spans="1:11" x14ac:dyDescent="0.35">
      <c r="A106" t="s">
        <v>227</v>
      </c>
      <c r="B106" t="s">
        <v>12</v>
      </c>
      <c r="C106" t="s">
        <v>23</v>
      </c>
      <c r="D106" t="s">
        <v>228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5">
      <c r="A107" t="s">
        <v>229</v>
      </c>
      <c r="B107" t="s">
        <v>68</v>
      </c>
      <c r="C107" t="s">
        <v>135</v>
      </c>
      <c r="D107" t="s">
        <v>230</v>
      </c>
      <c r="E107">
        <v>18.5</v>
      </c>
      <c r="F107">
        <v>5</v>
      </c>
      <c r="G107">
        <v>92.5</v>
      </c>
      <c r="H107" t="s">
        <v>49</v>
      </c>
      <c r="I107" t="s">
        <v>16</v>
      </c>
      <c r="J107" s="1">
        <v>44708</v>
      </c>
      <c r="K107" t="b">
        <v>0</v>
      </c>
    </row>
    <row r="108" spans="1:11" x14ac:dyDescent="0.35">
      <c r="A108" t="s">
        <v>231</v>
      </c>
      <c r="B108" t="s">
        <v>56</v>
      </c>
      <c r="C108" t="s">
        <v>23</v>
      </c>
      <c r="D108" t="s">
        <v>166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5">
      <c r="A109" t="s">
        <v>232</v>
      </c>
      <c r="B109" t="s">
        <v>72</v>
      </c>
      <c r="C109" t="s">
        <v>41</v>
      </c>
      <c r="D109" t="s">
        <v>92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5">
      <c r="A110" t="s">
        <v>233</v>
      </c>
      <c r="B110" t="s">
        <v>47</v>
      </c>
      <c r="C110" t="s">
        <v>41</v>
      </c>
      <c r="D110" t="s">
        <v>234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5">
      <c r="A111" t="s">
        <v>235</v>
      </c>
      <c r="B111" t="s">
        <v>27</v>
      </c>
      <c r="C111" t="s">
        <v>23</v>
      </c>
      <c r="D111" t="s">
        <v>228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  <c r="K111" t="b">
        <v>0</v>
      </c>
    </row>
    <row r="112" spans="1:11" x14ac:dyDescent="0.35">
      <c r="A112" t="s">
        <v>236</v>
      </c>
      <c r="B112" t="s">
        <v>81</v>
      </c>
      <c r="C112" t="s">
        <v>32</v>
      </c>
      <c r="D112" t="s">
        <v>164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  <c r="K112" t="b">
        <v>0</v>
      </c>
    </row>
    <row r="113" spans="1:11" x14ac:dyDescent="0.35">
      <c r="A113" t="s">
        <v>237</v>
      </c>
      <c r="B113" t="s">
        <v>94</v>
      </c>
      <c r="C113" t="s">
        <v>32</v>
      </c>
      <c r="D113" t="s">
        <v>238</v>
      </c>
      <c r="E113">
        <v>17</v>
      </c>
      <c r="F113">
        <v>7</v>
      </c>
      <c r="G113">
        <v>119</v>
      </c>
      <c r="H113" t="s">
        <v>49</v>
      </c>
      <c r="I113" t="s">
        <v>38</v>
      </c>
      <c r="J113" s="1">
        <v>45599</v>
      </c>
      <c r="K113" t="b">
        <v>0</v>
      </c>
    </row>
    <row r="114" spans="1:11" x14ac:dyDescent="0.35">
      <c r="A114" t="s">
        <v>239</v>
      </c>
      <c r="B114" t="s">
        <v>44</v>
      </c>
      <c r="C114" t="s">
        <v>135</v>
      </c>
      <c r="D114" t="s">
        <v>240</v>
      </c>
      <c r="E114">
        <v>20</v>
      </c>
      <c r="F114">
        <v>1</v>
      </c>
      <c r="G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5">
      <c r="A115" t="s">
        <v>241</v>
      </c>
      <c r="B115" t="s">
        <v>113</v>
      </c>
      <c r="C115" t="s">
        <v>135</v>
      </c>
      <c r="D115" t="s">
        <v>242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5">
      <c r="A116" t="s">
        <v>243</v>
      </c>
      <c r="B116" t="s">
        <v>172</v>
      </c>
      <c r="C116" t="s">
        <v>28</v>
      </c>
      <c r="D116" t="s">
        <v>244</v>
      </c>
      <c r="E116">
        <v>39.5</v>
      </c>
      <c r="F116">
        <v>1</v>
      </c>
      <c r="G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5">
      <c r="A117" t="s">
        <v>245</v>
      </c>
      <c r="B117" t="s">
        <v>47</v>
      </c>
      <c r="C117" t="s">
        <v>135</v>
      </c>
      <c r="D117" t="s">
        <v>246</v>
      </c>
      <c r="E117">
        <v>15.5</v>
      </c>
      <c r="F117">
        <v>10</v>
      </c>
      <c r="G117">
        <v>155</v>
      </c>
      <c r="H117" t="s">
        <v>49</v>
      </c>
      <c r="I117" t="s">
        <v>38</v>
      </c>
      <c r="J117" s="1">
        <v>45129</v>
      </c>
      <c r="K117" t="b">
        <v>0</v>
      </c>
    </row>
    <row r="118" spans="1:11" x14ac:dyDescent="0.35">
      <c r="A118" t="s">
        <v>247</v>
      </c>
      <c r="B118" t="s">
        <v>36</v>
      </c>
      <c r="C118" t="s">
        <v>135</v>
      </c>
      <c r="D118" t="s">
        <v>226</v>
      </c>
      <c r="E118">
        <v>41</v>
      </c>
      <c r="F118">
        <v>7</v>
      </c>
      <c r="G118">
        <v>287</v>
      </c>
      <c r="H118" t="s">
        <v>49</v>
      </c>
      <c r="I118" t="s">
        <v>16</v>
      </c>
      <c r="J118" s="1">
        <v>44625</v>
      </c>
      <c r="K118" t="b">
        <v>0</v>
      </c>
    </row>
    <row r="119" spans="1:11" x14ac:dyDescent="0.35">
      <c r="A119" t="s">
        <v>248</v>
      </c>
      <c r="B119" t="s">
        <v>47</v>
      </c>
      <c r="C119" t="s">
        <v>69</v>
      </c>
      <c r="D119" t="s">
        <v>249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5">
      <c r="A120" t="s">
        <v>250</v>
      </c>
      <c r="B120" t="s">
        <v>113</v>
      </c>
      <c r="C120" t="s">
        <v>135</v>
      </c>
      <c r="D120" t="s">
        <v>136</v>
      </c>
      <c r="E120">
        <v>27.5</v>
      </c>
      <c r="F120">
        <v>1</v>
      </c>
      <c r="G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5">
      <c r="A121" t="s">
        <v>251</v>
      </c>
      <c r="B121" t="s">
        <v>12</v>
      </c>
      <c r="C121" t="s">
        <v>32</v>
      </c>
      <c r="D121" t="s">
        <v>131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5">
      <c r="A122" t="s">
        <v>252</v>
      </c>
      <c r="B122" t="s">
        <v>68</v>
      </c>
      <c r="C122" t="s">
        <v>19</v>
      </c>
      <c r="D122" t="s">
        <v>253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  <c r="K122" t="b">
        <v>0</v>
      </c>
    </row>
    <row r="123" spans="1:11" x14ac:dyDescent="0.35">
      <c r="A123" t="s">
        <v>254</v>
      </c>
      <c r="B123" t="s">
        <v>47</v>
      </c>
      <c r="C123" t="s">
        <v>28</v>
      </c>
      <c r="D123" t="s">
        <v>255</v>
      </c>
      <c r="E123">
        <v>38</v>
      </c>
      <c r="F123">
        <v>8</v>
      </c>
      <c r="G123">
        <v>304</v>
      </c>
      <c r="H123" t="s">
        <v>49</v>
      </c>
      <c r="I123" t="s">
        <v>16</v>
      </c>
      <c r="J123" s="1">
        <v>45562</v>
      </c>
      <c r="K123" t="b">
        <v>1</v>
      </c>
    </row>
    <row r="124" spans="1:11" x14ac:dyDescent="0.35">
      <c r="A124" t="s">
        <v>256</v>
      </c>
      <c r="B124" t="s">
        <v>89</v>
      </c>
      <c r="C124" t="s">
        <v>23</v>
      </c>
      <c r="D124" t="s">
        <v>228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  <c r="K124" t="b">
        <v>0</v>
      </c>
    </row>
    <row r="125" spans="1:11" x14ac:dyDescent="0.35">
      <c r="A125" t="s">
        <v>257</v>
      </c>
      <c r="B125" t="s">
        <v>65</v>
      </c>
      <c r="C125" t="s">
        <v>41</v>
      </c>
      <c r="D125" t="s">
        <v>148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  <c r="K125" t="b">
        <v>0</v>
      </c>
    </row>
    <row r="126" spans="1:11" x14ac:dyDescent="0.35">
      <c r="A126" t="s">
        <v>258</v>
      </c>
      <c r="B126" t="s">
        <v>47</v>
      </c>
      <c r="C126" t="s">
        <v>28</v>
      </c>
      <c r="D126" t="s">
        <v>259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5">
      <c r="A127" t="s">
        <v>260</v>
      </c>
      <c r="B127" t="s">
        <v>84</v>
      </c>
      <c r="C127" t="s">
        <v>28</v>
      </c>
      <c r="D127" t="s">
        <v>261</v>
      </c>
      <c r="E127">
        <v>33.5</v>
      </c>
      <c r="F127">
        <v>5</v>
      </c>
      <c r="G127">
        <v>167.5</v>
      </c>
      <c r="H127" t="s">
        <v>49</v>
      </c>
      <c r="I127" t="s">
        <v>16</v>
      </c>
      <c r="J127" s="1">
        <v>45513</v>
      </c>
      <c r="K127" t="b">
        <v>0</v>
      </c>
    </row>
    <row r="128" spans="1:11" x14ac:dyDescent="0.35">
      <c r="A128" t="s">
        <v>262</v>
      </c>
      <c r="B128" t="s">
        <v>84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49</v>
      </c>
      <c r="I128" t="s">
        <v>38</v>
      </c>
      <c r="J128" s="1">
        <v>45428</v>
      </c>
      <c r="K128" t="b">
        <v>0</v>
      </c>
    </row>
    <row r="129" spans="1:11" x14ac:dyDescent="0.35">
      <c r="A129" t="s">
        <v>263</v>
      </c>
      <c r="B129" t="s">
        <v>40</v>
      </c>
      <c r="C129" t="s">
        <v>23</v>
      </c>
      <c r="D129" t="s">
        <v>24</v>
      </c>
      <c r="E129">
        <v>27.5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5">
      <c r="A130" t="s">
        <v>264</v>
      </c>
      <c r="B130" t="s">
        <v>68</v>
      </c>
      <c r="C130" t="s">
        <v>41</v>
      </c>
      <c r="D130" t="s">
        <v>234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5">
      <c r="A131" t="s">
        <v>265</v>
      </c>
      <c r="B131" t="s">
        <v>118</v>
      </c>
      <c r="C131" t="s">
        <v>32</v>
      </c>
      <c r="D131" t="s">
        <v>266</v>
      </c>
      <c r="E131">
        <v>39.5</v>
      </c>
      <c r="F131">
        <v>10</v>
      </c>
      <c r="G131">
        <v>395</v>
      </c>
      <c r="H131" t="s">
        <v>49</v>
      </c>
      <c r="I131" t="s">
        <v>16</v>
      </c>
      <c r="J131" s="1">
        <v>45193</v>
      </c>
      <c r="K131" t="b">
        <v>0</v>
      </c>
    </row>
    <row r="132" spans="1:11" x14ac:dyDescent="0.35">
      <c r="A132" t="s">
        <v>267</v>
      </c>
      <c r="B132" t="s">
        <v>113</v>
      </c>
      <c r="C132" t="s">
        <v>19</v>
      </c>
      <c r="D132" t="s">
        <v>268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5">
      <c r="A133" t="s">
        <v>269</v>
      </c>
      <c r="B133" t="s">
        <v>105</v>
      </c>
      <c r="C133" t="s">
        <v>41</v>
      </c>
      <c r="D133" t="s">
        <v>87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5">
      <c r="A134" t="s">
        <v>270</v>
      </c>
      <c r="B134" t="s">
        <v>89</v>
      </c>
      <c r="C134" t="s">
        <v>28</v>
      </c>
      <c r="D134" t="s">
        <v>271</v>
      </c>
      <c r="E134">
        <v>12.5</v>
      </c>
      <c r="F134">
        <v>2</v>
      </c>
      <c r="G134">
        <v>25</v>
      </c>
      <c r="H134" t="s">
        <v>49</v>
      </c>
      <c r="I134" t="s">
        <v>38</v>
      </c>
      <c r="J134" s="1">
        <v>44931</v>
      </c>
      <c r="K134" t="b">
        <v>0</v>
      </c>
    </row>
    <row r="135" spans="1:11" x14ac:dyDescent="0.35">
      <c r="A135" t="s">
        <v>272</v>
      </c>
      <c r="B135" t="s">
        <v>47</v>
      </c>
      <c r="C135" t="s">
        <v>41</v>
      </c>
      <c r="D135" t="s">
        <v>92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  <c r="K135" t="b">
        <v>0</v>
      </c>
    </row>
    <row r="136" spans="1:11" x14ac:dyDescent="0.35">
      <c r="A136" t="s">
        <v>273</v>
      </c>
      <c r="B136" t="s">
        <v>89</v>
      </c>
      <c r="C136" t="s">
        <v>19</v>
      </c>
      <c r="D136" t="s">
        <v>274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5">
      <c r="A137" t="s">
        <v>275</v>
      </c>
      <c r="B137" t="s">
        <v>31</v>
      </c>
      <c r="C137" t="s">
        <v>19</v>
      </c>
      <c r="D137" t="s">
        <v>276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  <c r="K137" t="b">
        <v>0</v>
      </c>
    </row>
    <row r="138" spans="1:11" x14ac:dyDescent="0.35">
      <c r="A138" t="s">
        <v>277</v>
      </c>
      <c r="B138" t="s">
        <v>84</v>
      </c>
      <c r="C138" t="s">
        <v>135</v>
      </c>
      <c r="D138" t="s">
        <v>278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  <c r="K138" t="b">
        <v>0</v>
      </c>
    </row>
    <row r="139" spans="1:11" x14ac:dyDescent="0.35">
      <c r="A139" t="s">
        <v>279</v>
      </c>
      <c r="B139" t="s">
        <v>18</v>
      </c>
      <c r="C139" t="s">
        <v>23</v>
      </c>
      <c r="D139" t="s">
        <v>280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5">
      <c r="A140" t="s">
        <v>281</v>
      </c>
      <c r="B140" t="s">
        <v>47</v>
      </c>
      <c r="C140" t="s">
        <v>41</v>
      </c>
      <c r="D140" t="s">
        <v>73</v>
      </c>
      <c r="E140">
        <v>35</v>
      </c>
      <c r="F140">
        <v>1</v>
      </c>
      <c r="G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5">
      <c r="A141" t="s">
        <v>282</v>
      </c>
      <c r="B141" t="s">
        <v>65</v>
      </c>
      <c r="C141" t="s">
        <v>41</v>
      </c>
      <c r="D141" t="s">
        <v>85</v>
      </c>
      <c r="E141">
        <v>24.5</v>
      </c>
      <c r="F141">
        <v>1</v>
      </c>
      <c r="G141">
        <v>24.5</v>
      </c>
      <c r="H141" t="s">
        <v>49</v>
      </c>
      <c r="I141" t="s">
        <v>38</v>
      </c>
      <c r="J141" s="1">
        <v>45565</v>
      </c>
      <c r="K141" t="b">
        <v>1</v>
      </c>
    </row>
    <row r="142" spans="1:11" x14ac:dyDescent="0.35">
      <c r="A142" t="s">
        <v>283</v>
      </c>
      <c r="B142" t="s">
        <v>121</v>
      </c>
      <c r="C142" t="s">
        <v>41</v>
      </c>
      <c r="D142" t="s">
        <v>284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5">
      <c r="A143" t="s">
        <v>285</v>
      </c>
      <c r="B143" t="s">
        <v>12</v>
      </c>
      <c r="C143" t="s">
        <v>28</v>
      </c>
      <c r="D143" t="s">
        <v>261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  <c r="K143" t="b">
        <v>0</v>
      </c>
    </row>
    <row r="144" spans="1:11" x14ac:dyDescent="0.35">
      <c r="A144" t="s">
        <v>286</v>
      </c>
      <c r="B144" t="s">
        <v>44</v>
      </c>
      <c r="C144" t="s">
        <v>19</v>
      </c>
      <c r="D144" t="s">
        <v>287</v>
      </c>
      <c r="E144">
        <v>8</v>
      </c>
      <c r="F144">
        <v>3</v>
      </c>
      <c r="G144">
        <v>24</v>
      </c>
      <c r="H144" t="s">
        <v>49</v>
      </c>
      <c r="I144" t="s">
        <v>38</v>
      </c>
      <c r="J144" s="1">
        <v>44936</v>
      </c>
      <c r="K144" t="b">
        <v>0</v>
      </c>
    </row>
    <row r="145" spans="1:11" x14ac:dyDescent="0.35">
      <c r="A145" t="s">
        <v>288</v>
      </c>
      <c r="B145" t="s">
        <v>172</v>
      </c>
      <c r="C145" t="s">
        <v>69</v>
      </c>
      <c r="D145" t="s">
        <v>124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  <c r="K145" t="b">
        <v>0</v>
      </c>
    </row>
    <row r="146" spans="1:11" x14ac:dyDescent="0.35">
      <c r="A146" t="s">
        <v>289</v>
      </c>
      <c r="B146" t="s">
        <v>118</v>
      </c>
      <c r="C146" t="s">
        <v>19</v>
      </c>
      <c r="D146" t="s">
        <v>290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5">
      <c r="A147" t="s">
        <v>291</v>
      </c>
      <c r="B147" t="s">
        <v>36</v>
      </c>
      <c r="C147" t="s">
        <v>23</v>
      </c>
      <c r="D147" t="s">
        <v>51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5">
      <c r="A148" t="s">
        <v>292</v>
      </c>
      <c r="B148" t="s">
        <v>40</v>
      </c>
      <c r="C148" t="s">
        <v>32</v>
      </c>
      <c r="D148" t="s">
        <v>266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5">
      <c r="A149" t="s">
        <v>293</v>
      </c>
      <c r="B149" t="s">
        <v>56</v>
      </c>
      <c r="C149" t="s">
        <v>135</v>
      </c>
      <c r="D149" t="s">
        <v>294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5">
      <c r="A150" t="s">
        <v>295</v>
      </c>
      <c r="B150" t="s">
        <v>94</v>
      </c>
      <c r="C150" t="s">
        <v>135</v>
      </c>
      <c r="D150" t="s">
        <v>296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5">
      <c r="A151" t="s">
        <v>297</v>
      </c>
      <c r="B151" t="s">
        <v>47</v>
      </c>
      <c r="C151" t="s">
        <v>41</v>
      </c>
      <c r="D151" t="s">
        <v>298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  <c r="K151" t="b">
        <v>0</v>
      </c>
    </row>
    <row r="152" spans="1:11" x14ac:dyDescent="0.35">
      <c r="A152" t="s">
        <v>299</v>
      </c>
      <c r="B152" t="s">
        <v>84</v>
      </c>
      <c r="C152" t="s">
        <v>32</v>
      </c>
      <c r="D152" t="s">
        <v>174</v>
      </c>
      <c r="E152">
        <v>30.5</v>
      </c>
      <c r="F152">
        <v>10</v>
      </c>
      <c r="G152">
        <v>305</v>
      </c>
      <c r="H152" t="s">
        <v>49</v>
      </c>
      <c r="I152" t="s">
        <v>16</v>
      </c>
      <c r="J152" s="1">
        <v>45608</v>
      </c>
      <c r="K152" t="b">
        <v>0</v>
      </c>
    </row>
    <row r="153" spans="1:11" x14ac:dyDescent="0.35">
      <c r="A153" t="s">
        <v>300</v>
      </c>
      <c r="B153" t="s">
        <v>68</v>
      </c>
      <c r="C153" t="s">
        <v>28</v>
      </c>
      <c r="D153" t="s">
        <v>122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5">
      <c r="A154" t="s">
        <v>301</v>
      </c>
      <c r="B154" t="s">
        <v>94</v>
      </c>
      <c r="C154" t="s">
        <v>28</v>
      </c>
      <c r="D154" t="s">
        <v>271</v>
      </c>
      <c r="E154">
        <v>12.5</v>
      </c>
      <c r="F154">
        <v>5</v>
      </c>
      <c r="G154">
        <v>62.5</v>
      </c>
      <c r="H154" t="s">
        <v>49</v>
      </c>
      <c r="I154" t="s">
        <v>16</v>
      </c>
      <c r="J154" s="1">
        <v>44965</v>
      </c>
      <c r="K154" t="b">
        <v>0</v>
      </c>
    </row>
    <row r="155" spans="1:11" x14ac:dyDescent="0.35">
      <c r="A155" t="s">
        <v>302</v>
      </c>
      <c r="B155" t="s">
        <v>12</v>
      </c>
      <c r="C155" t="s">
        <v>13</v>
      </c>
      <c r="D155" t="s">
        <v>101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  <c r="K155" t="b">
        <v>0</v>
      </c>
    </row>
    <row r="156" spans="1:11" x14ac:dyDescent="0.35">
      <c r="A156" t="s">
        <v>303</v>
      </c>
      <c r="B156" t="s">
        <v>12</v>
      </c>
      <c r="C156" t="s">
        <v>28</v>
      </c>
      <c r="D156" t="s">
        <v>304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5">
      <c r="A157" t="s">
        <v>305</v>
      </c>
      <c r="B157" t="s">
        <v>103</v>
      </c>
      <c r="C157" t="s">
        <v>41</v>
      </c>
      <c r="D157" t="s">
        <v>306</v>
      </c>
      <c r="E157">
        <v>15.5</v>
      </c>
      <c r="F157">
        <v>9</v>
      </c>
      <c r="G157">
        <v>139.5</v>
      </c>
      <c r="H157" t="s">
        <v>49</v>
      </c>
      <c r="I157" t="s">
        <v>16</v>
      </c>
      <c r="J157" s="1">
        <v>45450</v>
      </c>
      <c r="K157" t="b">
        <v>0</v>
      </c>
    </row>
    <row r="158" spans="1:11" x14ac:dyDescent="0.35">
      <c r="A158" t="s">
        <v>307</v>
      </c>
      <c r="B158" t="s">
        <v>22</v>
      </c>
      <c r="C158" t="s">
        <v>23</v>
      </c>
      <c r="D158" t="s">
        <v>48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5">
      <c r="A159" t="s">
        <v>308</v>
      </c>
      <c r="B159" t="s">
        <v>128</v>
      </c>
      <c r="C159" t="s">
        <v>23</v>
      </c>
      <c r="D159" t="s">
        <v>309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5">
      <c r="A160" t="s">
        <v>310</v>
      </c>
      <c r="B160" t="s">
        <v>47</v>
      </c>
      <c r="C160" t="s">
        <v>28</v>
      </c>
      <c r="D160" t="s">
        <v>311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5">
      <c r="A161" t="s">
        <v>312</v>
      </c>
      <c r="B161" t="s">
        <v>40</v>
      </c>
      <c r="C161" t="s">
        <v>23</v>
      </c>
      <c r="D161" t="s">
        <v>24</v>
      </c>
      <c r="E161">
        <v>14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5">
      <c r="A162" t="s">
        <v>313</v>
      </c>
      <c r="B162" t="s">
        <v>84</v>
      </c>
      <c r="C162" t="s">
        <v>32</v>
      </c>
      <c r="D162" t="s">
        <v>95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  <c r="K162" t="b">
        <v>1</v>
      </c>
    </row>
    <row r="163" spans="1:11" x14ac:dyDescent="0.35">
      <c r="A163" t="s">
        <v>314</v>
      </c>
      <c r="B163" t="s">
        <v>105</v>
      </c>
      <c r="C163" t="s">
        <v>69</v>
      </c>
      <c r="D163" t="s">
        <v>315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5">
      <c r="A164" t="s">
        <v>316</v>
      </c>
      <c r="B164" t="s">
        <v>113</v>
      </c>
      <c r="C164" t="s">
        <v>23</v>
      </c>
      <c r="D164" t="s">
        <v>218</v>
      </c>
      <c r="E164">
        <v>35</v>
      </c>
      <c r="F164">
        <v>9</v>
      </c>
      <c r="G164">
        <v>315</v>
      </c>
      <c r="H164" t="s">
        <v>49</v>
      </c>
      <c r="I164" t="s">
        <v>38</v>
      </c>
      <c r="J164" s="1">
        <v>45330</v>
      </c>
      <c r="K164" t="b">
        <v>1</v>
      </c>
    </row>
    <row r="165" spans="1:11" x14ac:dyDescent="0.35">
      <c r="A165" t="s">
        <v>317</v>
      </c>
      <c r="B165" t="s">
        <v>18</v>
      </c>
      <c r="C165" t="s">
        <v>32</v>
      </c>
      <c r="D165" t="s">
        <v>238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5">
      <c r="A166" t="s">
        <v>318</v>
      </c>
      <c r="B166" t="s">
        <v>18</v>
      </c>
      <c r="C166" t="s">
        <v>41</v>
      </c>
      <c r="D166" t="s">
        <v>92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5">
      <c r="A167" t="s">
        <v>319</v>
      </c>
      <c r="B167" t="s">
        <v>22</v>
      </c>
      <c r="C167" t="s">
        <v>28</v>
      </c>
      <c r="D167" t="s">
        <v>75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5">
      <c r="A168" t="s">
        <v>320</v>
      </c>
      <c r="B168" t="s">
        <v>118</v>
      </c>
      <c r="C168" t="s">
        <v>28</v>
      </c>
      <c r="D168" t="s">
        <v>75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  <c r="K168" t="b">
        <v>0</v>
      </c>
    </row>
    <row r="169" spans="1:11" x14ac:dyDescent="0.35">
      <c r="A169" t="s">
        <v>321</v>
      </c>
      <c r="B169" t="s">
        <v>78</v>
      </c>
      <c r="C169" t="s">
        <v>13</v>
      </c>
      <c r="D169" t="s">
        <v>197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  <c r="K169" t="b">
        <v>0</v>
      </c>
    </row>
    <row r="170" spans="1:11" x14ac:dyDescent="0.35">
      <c r="A170" t="s">
        <v>322</v>
      </c>
      <c r="B170" t="s">
        <v>47</v>
      </c>
      <c r="C170" t="s">
        <v>135</v>
      </c>
      <c r="D170" t="s">
        <v>323</v>
      </c>
      <c r="E170">
        <v>24.5</v>
      </c>
      <c r="F170">
        <v>4</v>
      </c>
      <c r="G170">
        <v>98</v>
      </c>
      <c r="H170" t="s">
        <v>49</v>
      </c>
      <c r="I170" t="s">
        <v>38</v>
      </c>
      <c r="J170" s="1">
        <v>44683</v>
      </c>
      <c r="K170" t="b">
        <v>0</v>
      </c>
    </row>
    <row r="171" spans="1:11" x14ac:dyDescent="0.35">
      <c r="A171" t="s">
        <v>324</v>
      </c>
      <c r="B171" t="s">
        <v>78</v>
      </c>
      <c r="C171" t="s">
        <v>69</v>
      </c>
      <c r="D171" t="s">
        <v>325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  <c r="K171" t="b">
        <v>0</v>
      </c>
    </row>
    <row r="172" spans="1:11" x14ac:dyDescent="0.35">
      <c r="A172" t="s">
        <v>326</v>
      </c>
      <c r="B172" t="s">
        <v>72</v>
      </c>
      <c r="C172" t="s">
        <v>28</v>
      </c>
      <c r="D172" t="s">
        <v>116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  <c r="K172" t="b">
        <v>0</v>
      </c>
    </row>
    <row r="173" spans="1:11" x14ac:dyDescent="0.35">
      <c r="A173" t="s">
        <v>327</v>
      </c>
      <c r="B173" t="s">
        <v>121</v>
      </c>
      <c r="C173" t="s">
        <v>28</v>
      </c>
      <c r="D173" t="s">
        <v>255</v>
      </c>
      <c r="E173">
        <v>38</v>
      </c>
      <c r="F173">
        <v>6</v>
      </c>
      <c r="G173">
        <v>228</v>
      </c>
      <c r="H173" t="s">
        <v>49</v>
      </c>
      <c r="I173" t="s">
        <v>16</v>
      </c>
      <c r="J173" s="1">
        <v>45243</v>
      </c>
      <c r="K173" t="b">
        <v>0</v>
      </c>
    </row>
    <row r="174" spans="1:11" x14ac:dyDescent="0.35">
      <c r="A174" t="s">
        <v>328</v>
      </c>
      <c r="B174" t="s">
        <v>89</v>
      </c>
      <c r="C174" t="s">
        <v>135</v>
      </c>
      <c r="D174" t="s">
        <v>329</v>
      </c>
      <c r="E174">
        <v>30.5</v>
      </c>
      <c r="F174">
        <v>3</v>
      </c>
      <c r="G174">
        <v>91.5</v>
      </c>
      <c r="H174" t="s">
        <v>49</v>
      </c>
      <c r="I174" t="s">
        <v>16</v>
      </c>
      <c r="J174" s="1">
        <v>45346</v>
      </c>
      <c r="K174" t="b">
        <v>0</v>
      </c>
    </row>
    <row r="175" spans="1:11" x14ac:dyDescent="0.35">
      <c r="A175" t="s">
        <v>330</v>
      </c>
      <c r="B175" t="s">
        <v>68</v>
      </c>
      <c r="C175" t="s">
        <v>13</v>
      </c>
      <c r="D175" t="s">
        <v>138</v>
      </c>
      <c r="E175">
        <v>20</v>
      </c>
      <c r="F175">
        <v>7</v>
      </c>
      <c r="G175">
        <v>140</v>
      </c>
      <c r="H175" t="s">
        <v>49</v>
      </c>
      <c r="I175" t="s">
        <v>38</v>
      </c>
      <c r="J175" s="1">
        <v>45103</v>
      </c>
      <c r="K175" t="b">
        <v>1</v>
      </c>
    </row>
    <row r="176" spans="1:11" x14ac:dyDescent="0.35">
      <c r="A176" t="s">
        <v>331</v>
      </c>
      <c r="B176" t="s">
        <v>172</v>
      </c>
      <c r="C176" t="s">
        <v>19</v>
      </c>
      <c r="D176" t="s">
        <v>203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5">
      <c r="A177" t="s">
        <v>332</v>
      </c>
      <c r="B177" t="s">
        <v>103</v>
      </c>
      <c r="C177" t="s">
        <v>13</v>
      </c>
      <c r="D177" t="s">
        <v>223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5">
      <c r="A178" t="s">
        <v>333</v>
      </c>
      <c r="B178" t="s">
        <v>121</v>
      </c>
      <c r="C178" t="s">
        <v>32</v>
      </c>
      <c r="D178" t="s">
        <v>189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5">
      <c r="A179" t="s">
        <v>334</v>
      </c>
      <c r="B179" t="s">
        <v>12</v>
      </c>
      <c r="C179" t="s">
        <v>19</v>
      </c>
      <c r="D179" t="s">
        <v>274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5">
      <c r="A180" t="s">
        <v>335</v>
      </c>
      <c r="B180" t="s">
        <v>18</v>
      </c>
      <c r="C180" t="s">
        <v>41</v>
      </c>
      <c r="D180" t="s">
        <v>92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  <c r="K180" t="b">
        <v>0</v>
      </c>
    </row>
    <row r="181" spans="1:11" x14ac:dyDescent="0.35">
      <c r="A181" t="s">
        <v>336</v>
      </c>
      <c r="B181" t="s">
        <v>84</v>
      </c>
      <c r="C181" t="s">
        <v>23</v>
      </c>
      <c r="D181" t="s">
        <v>309</v>
      </c>
      <c r="E181">
        <v>23</v>
      </c>
      <c r="F181">
        <v>7</v>
      </c>
      <c r="G181">
        <v>161</v>
      </c>
      <c r="H181" t="s">
        <v>49</v>
      </c>
      <c r="I181" t="s">
        <v>38</v>
      </c>
      <c r="J181" s="1">
        <v>45065</v>
      </c>
      <c r="K181" t="b">
        <v>0</v>
      </c>
    </row>
    <row r="182" spans="1:11" x14ac:dyDescent="0.35">
      <c r="A182" t="s">
        <v>337</v>
      </c>
      <c r="B182" t="s">
        <v>36</v>
      </c>
      <c r="C182" t="s">
        <v>135</v>
      </c>
      <c r="D182" t="s">
        <v>240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5">
      <c r="A183" t="s">
        <v>338</v>
      </c>
      <c r="B183" t="s">
        <v>65</v>
      </c>
      <c r="C183" t="s">
        <v>41</v>
      </c>
      <c r="D183" t="s">
        <v>234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  <c r="K183" t="b">
        <v>0</v>
      </c>
    </row>
    <row r="184" spans="1:11" x14ac:dyDescent="0.35">
      <c r="A184" t="s">
        <v>339</v>
      </c>
      <c r="B184" t="s">
        <v>65</v>
      </c>
      <c r="C184" t="s">
        <v>28</v>
      </c>
      <c r="D184" t="s">
        <v>311</v>
      </c>
      <c r="E184">
        <v>6.5</v>
      </c>
      <c r="F184">
        <v>1</v>
      </c>
      <c r="G184">
        <v>6.5</v>
      </c>
      <c r="H184" t="s">
        <v>49</v>
      </c>
      <c r="I184" t="s">
        <v>38</v>
      </c>
      <c r="J184" s="1">
        <v>44880</v>
      </c>
      <c r="K184" t="b">
        <v>0</v>
      </c>
    </row>
    <row r="185" spans="1:11" x14ac:dyDescent="0.35">
      <c r="A185" t="s">
        <v>340</v>
      </c>
      <c r="B185" t="s">
        <v>36</v>
      </c>
      <c r="C185" t="s">
        <v>19</v>
      </c>
      <c r="D185" t="s">
        <v>59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5">
      <c r="A186" t="s">
        <v>341</v>
      </c>
      <c r="B186" t="s">
        <v>36</v>
      </c>
      <c r="C186" t="s">
        <v>19</v>
      </c>
      <c r="D186" t="s">
        <v>287</v>
      </c>
      <c r="E186">
        <v>8</v>
      </c>
      <c r="F186">
        <v>5</v>
      </c>
      <c r="G186">
        <v>40</v>
      </c>
      <c r="H186" t="s">
        <v>49</v>
      </c>
      <c r="I186" t="s">
        <v>38</v>
      </c>
      <c r="J186" s="1">
        <v>45263</v>
      </c>
      <c r="K186" t="b">
        <v>0</v>
      </c>
    </row>
    <row r="187" spans="1:11" x14ac:dyDescent="0.35">
      <c r="A187" t="s">
        <v>342</v>
      </c>
      <c r="B187" t="s">
        <v>103</v>
      </c>
      <c r="C187" t="s">
        <v>23</v>
      </c>
      <c r="D187" t="s">
        <v>90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5">
      <c r="A188" t="s">
        <v>343</v>
      </c>
      <c r="B188" t="s">
        <v>12</v>
      </c>
      <c r="C188" t="s">
        <v>41</v>
      </c>
      <c r="D188" t="s">
        <v>344</v>
      </c>
      <c r="E188">
        <v>29</v>
      </c>
      <c r="F188">
        <v>9</v>
      </c>
      <c r="G188">
        <v>261</v>
      </c>
      <c r="H188" t="s">
        <v>49</v>
      </c>
      <c r="I188" t="s">
        <v>16</v>
      </c>
      <c r="J188" s="1">
        <v>45145</v>
      </c>
      <c r="K188" t="b">
        <v>1</v>
      </c>
    </row>
    <row r="189" spans="1:11" x14ac:dyDescent="0.35">
      <c r="A189" t="s">
        <v>345</v>
      </c>
      <c r="B189" t="s">
        <v>81</v>
      </c>
      <c r="C189" t="s">
        <v>19</v>
      </c>
      <c r="D189" t="s">
        <v>346</v>
      </c>
      <c r="E189">
        <v>26</v>
      </c>
      <c r="F189">
        <v>8</v>
      </c>
      <c r="G189">
        <v>208</v>
      </c>
      <c r="H189" t="s">
        <v>49</v>
      </c>
      <c r="I189" t="s">
        <v>38</v>
      </c>
      <c r="J189" s="1">
        <v>44962</v>
      </c>
      <c r="K189" t="b">
        <v>0</v>
      </c>
    </row>
    <row r="190" spans="1:11" x14ac:dyDescent="0.35">
      <c r="A190" t="s">
        <v>347</v>
      </c>
      <c r="B190" t="s">
        <v>78</v>
      </c>
      <c r="C190" t="s">
        <v>69</v>
      </c>
      <c r="D190" t="s">
        <v>348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5">
      <c r="A191" t="s">
        <v>349</v>
      </c>
      <c r="B191" t="s">
        <v>128</v>
      </c>
      <c r="C191" t="s">
        <v>32</v>
      </c>
      <c r="D191" t="s">
        <v>189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  <c r="K191" t="b">
        <v>1</v>
      </c>
    </row>
    <row r="192" spans="1:11" x14ac:dyDescent="0.35">
      <c r="A192" t="s">
        <v>350</v>
      </c>
      <c r="B192" t="s">
        <v>113</v>
      </c>
      <c r="C192" t="s">
        <v>69</v>
      </c>
      <c r="D192" t="s">
        <v>351</v>
      </c>
      <c r="E192">
        <v>27.5</v>
      </c>
      <c r="F192">
        <v>10</v>
      </c>
      <c r="G192">
        <v>275</v>
      </c>
      <c r="H192" t="s">
        <v>49</v>
      </c>
      <c r="I192" t="s">
        <v>16</v>
      </c>
      <c r="J192" s="1">
        <v>44831</v>
      </c>
      <c r="K192" t="b">
        <v>1</v>
      </c>
    </row>
    <row r="193" spans="1:11" x14ac:dyDescent="0.35">
      <c r="A193" t="s">
        <v>352</v>
      </c>
      <c r="B193" t="s">
        <v>84</v>
      </c>
      <c r="C193" t="s">
        <v>135</v>
      </c>
      <c r="D193" t="s">
        <v>187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5">
      <c r="A194" t="s">
        <v>353</v>
      </c>
      <c r="B194" t="s">
        <v>121</v>
      </c>
      <c r="C194" t="s">
        <v>69</v>
      </c>
      <c r="D194" t="s">
        <v>354</v>
      </c>
      <c r="E194">
        <v>38</v>
      </c>
      <c r="F194">
        <v>1</v>
      </c>
      <c r="G194">
        <v>38</v>
      </c>
      <c r="H194" t="s">
        <v>49</v>
      </c>
      <c r="I194" t="s">
        <v>38</v>
      </c>
      <c r="J194" s="1">
        <v>44641</v>
      </c>
      <c r="K194" t="b">
        <v>1</v>
      </c>
    </row>
    <row r="195" spans="1:11" x14ac:dyDescent="0.35">
      <c r="A195" t="s">
        <v>355</v>
      </c>
      <c r="B195" t="s">
        <v>40</v>
      </c>
      <c r="C195" t="s">
        <v>19</v>
      </c>
      <c r="D195" t="s">
        <v>211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5">
      <c r="A196" t="s">
        <v>356</v>
      </c>
      <c r="B196" t="s">
        <v>72</v>
      </c>
      <c r="C196" t="s">
        <v>23</v>
      </c>
      <c r="D196" t="s">
        <v>357</v>
      </c>
      <c r="E196">
        <v>14</v>
      </c>
      <c r="F196">
        <v>3</v>
      </c>
      <c r="G196">
        <v>42</v>
      </c>
      <c r="H196" t="s">
        <v>49</v>
      </c>
      <c r="I196" t="s">
        <v>16</v>
      </c>
      <c r="J196" s="1">
        <v>45004</v>
      </c>
      <c r="K196" t="b">
        <v>0</v>
      </c>
    </row>
    <row r="197" spans="1:11" x14ac:dyDescent="0.35">
      <c r="A197" t="s">
        <v>358</v>
      </c>
      <c r="B197" t="s">
        <v>40</v>
      </c>
      <c r="C197" t="s">
        <v>135</v>
      </c>
      <c r="D197" t="s">
        <v>136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  <c r="K197" t="b">
        <v>0</v>
      </c>
    </row>
    <row r="198" spans="1:11" x14ac:dyDescent="0.35">
      <c r="A198" t="s">
        <v>359</v>
      </c>
      <c r="B198" t="s">
        <v>47</v>
      </c>
      <c r="C198" t="s">
        <v>69</v>
      </c>
      <c r="D198" t="s">
        <v>360</v>
      </c>
      <c r="E198">
        <v>5</v>
      </c>
      <c r="F198">
        <v>2</v>
      </c>
      <c r="G198">
        <v>10</v>
      </c>
      <c r="H198" t="s">
        <v>49</v>
      </c>
      <c r="I198" t="s">
        <v>16</v>
      </c>
      <c r="J198" s="1">
        <v>45087</v>
      </c>
      <c r="K198" t="b">
        <v>0</v>
      </c>
    </row>
    <row r="199" spans="1:11" x14ac:dyDescent="0.35">
      <c r="A199" t="s">
        <v>361</v>
      </c>
      <c r="B199" t="s">
        <v>84</v>
      </c>
      <c r="C199" t="s">
        <v>23</v>
      </c>
      <c r="D199" t="s">
        <v>309</v>
      </c>
      <c r="E199">
        <v>23</v>
      </c>
      <c r="F199">
        <v>6</v>
      </c>
      <c r="G199">
        <v>138</v>
      </c>
      <c r="H199" t="s">
        <v>49</v>
      </c>
      <c r="I199" t="s">
        <v>38</v>
      </c>
      <c r="J199" s="1">
        <v>44814</v>
      </c>
      <c r="K199" t="b">
        <v>1</v>
      </c>
    </row>
    <row r="200" spans="1:11" x14ac:dyDescent="0.35">
      <c r="A200" t="s">
        <v>362</v>
      </c>
      <c r="B200" t="s">
        <v>18</v>
      </c>
      <c r="C200" t="s">
        <v>135</v>
      </c>
      <c r="D200" t="s">
        <v>363</v>
      </c>
      <c r="E200">
        <v>32</v>
      </c>
      <c r="F200">
        <v>9</v>
      </c>
      <c r="G200">
        <v>288</v>
      </c>
      <c r="H200" t="s">
        <v>49</v>
      </c>
      <c r="I200" t="s">
        <v>16</v>
      </c>
      <c r="J200" s="1">
        <v>44718</v>
      </c>
      <c r="K200" t="b">
        <v>0</v>
      </c>
    </row>
    <row r="201" spans="1:11" x14ac:dyDescent="0.35">
      <c r="A201" t="s">
        <v>364</v>
      </c>
      <c r="B201" t="s">
        <v>81</v>
      </c>
      <c r="C201" t="s">
        <v>23</v>
      </c>
      <c r="D201" t="s">
        <v>90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5">
      <c r="A202" t="s">
        <v>365</v>
      </c>
      <c r="B202" t="s">
        <v>68</v>
      </c>
      <c r="C202" t="s">
        <v>135</v>
      </c>
      <c r="D202" t="s">
        <v>240</v>
      </c>
      <c r="E202">
        <v>20</v>
      </c>
      <c r="F202">
        <v>3</v>
      </c>
      <c r="G202">
        <v>60</v>
      </c>
      <c r="H202" t="s">
        <v>49</v>
      </c>
      <c r="I202" t="s">
        <v>16</v>
      </c>
      <c r="J202" s="1">
        <v>45124</v>
      </c>
      <c r="K202" t="b">
        <v>0</v>
      </c>
    </row>
    <row r="203" spans="1:11" x14ac:dyDescent="0.35">
      <c r="A203" t="s">
        <v>366</v>
      </c>
      <c r="B203" t="s">
        <v>103</v>
      </c>
      <c r="C203" t="s">
        <v>32</v>
      </c>
      <c r="D203" t="s">
        <v>367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5">
      <c r="A204" t="s">
        <v>368</v>
      </c>
      <c r="B204" t="s">
        <v>105</v>
      </c>
      <c r="C204" t="s">
        <v>69</v>
      </c>
      <c r="D204" t="s">
        <v>369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5">
      <c r="A205" t="s">
        <v>370</v>
      </c>
      <c r="B205" t="s">
        <v>172</v>
      </c>
      <c r="C205" t="s">
        <v>69</v>
      </c>
      <c r="D205" t="s">
        <v>371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5">
      <c r="A206" t="s">
        <v>372</v>
      </c>
      <c r="B206" t="s">
        <v>128</v>
      </c>
      <c r="C206" t="s">
        <v>41</v>
      </c>
      <c r="D206" t="s">
        <v>87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  <c r="K206" t="b">
        <v>0</v>
      </c>
    </row>
    <row r="207" spans="1:11" x14ac:dyDescent="0.35">
      <c r="A207" t="s">
        <v>373</v>
      </c>
      <c r="B207" t="s">
        <v>65</v>
      </c>
      <c r="C207" t="s">
        <v>13</v>
      </c>
      <c r="D207" t="s">
        <v>374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5">
      <c r="A208" t="s">
        <v>375</v>
      </c>
      <c r="B208" t="s">
        <v>81</v>
      </c>
      <c r="C208" t="s">
        <v>32</v>
      </c>
      <c r="D208" t="s">
        <v>174</v>
      </c>
      <c r="E208">
        <v>30.5</v>
      </c>
      <c r="F208">
        <v>2</v>
      </c>
      <c r="G208">
        <v>61</v>
      </c>
      <c r="H208" t="s">
        <v>49</v>
      </c>
      <c r="I208" t="s">
        <v>38</v>
      </c>
      <c r="J208" s="1">
        <v>44581</v>
      </c>
      <c r="K208" t="b">
        <v>0</v>
      </c>
    </row>
    <row r="209" spans="1:11" x14ac:dyDescent="0.35">
      <c r="A209" t="s">
        <v>376</v>
      </c>
      <c r="B209" t="s">
        <v>94</v>
      </c>
      <c r="C209" t="s">
        <v>135</v>
      </c>
      <c r="D209" t="s">
        <v>242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5">
      <c r="A210" t="s">
        <v>377</v>
      </c>
      <c r="B210" t="s">
        <v>84</v>
      </c>
      <c r="C210" t="s">
        <v>135</v>
      </c>
      <c r="D210" t="s">
        <v>278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5">
      <c r="A211" t="s">
        <v>378</v>
      </c>
      <c r="B211" t="s">
        <v>113</v>
      </c>
      <c r="C211" t="s">
        <v>69</v>
      </c>
      <c r="D211" t="s">
        <v>379</v>
      </c>
      <c r="E211">
        <v>29</v>
      </c>
      <c r="F211">
        <v>4</v>
      </c>
      <c r="G211">
        <v>116</v>
      </c>
      <c r="H211" t="s">
        <v>49</v>
      </c>
      <c r="I211" t="s">
        <v>16</v>
      </c>
      <c r="J211" s="1">
        <v>44707</v>
      </c>
      <c r="K211" t="b">
        <v>0</v>
      </c>
    </row>
    <row r="212" spans="1:11" x14ac:dyDescent="0.35">
      <c r="A212" t="s">
        <v>380</v>
      </c>
      <c r="B212" t="s">
        <v>121</v>
      </c>
      <c r="C212" t="s">
        <v>135</v>
      </c>
      <c r="D212" t="s">
        <v>242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5">
      <c r="A213" t="s">
        <v>381</v>
      </c>
      <c r="B213" t="s">
        <v>103</v>
      </c>
      <c r="C213" t="s">
        <v>23</v>
      </c>
      <c r="D213" t="s">
        <v>228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  <c r="K213" t="b">
        <v>0</v>
      </c>
    </row>
    <row r="214" spans="1:11" x14ac:dyDescent="0.35">
      <c r="A214" t="s">
        <v>382</v>
      </c>
      <c r="B214" t="s">
        <v>56</v>
      </c>
      <c r="C214" t="s">
        <v>13</v>
      </c>
      <c r="D214" t="s">
        <v>176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5">
      <c r="A215" t="s">
        <v>383</v>
      </c>
      <c r="B215" t="s">
        <v>103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49</v>
      </c>
      <c r="I215" t="s">
        <v>16</v>
      </c>
      <c r="J215" s="1">
        <v>45488</v>
      </c>
      <c r="K215" t="b">
        <v>0</v>
      </c>
    </row>
    <row r="216" spans="1:11" x14ac:dyDescent="0.35">
      <c r="A216" t="s">
        <v>384</v>
      </c>
      <c r="B216" t="s">
        <v>31</v>
      </c>
      <c r="C216" t="s">
        <v>23</v>
      </c>
      <c r="D216" t="s">
        <v>385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5">
      <c r="A217" t="s">
        <v>386</v>
      </c>
      <c r="B217" t="s">
        <v>47</v>
      </c>
      <c r="C217" t="s">
        <v>23</v>
      </c>
      <c r="D217" t="s">
        <v>119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5">
      <c r="A218" t="s">
        <v>387</v>
      </c>
      <c r="B218" t="s">
        <v>18</v>
      </c>
      <c r="C218" t="s">
        <v>13</v>
      </c>
      <c r="D218" t="s">
        <v>176</v>
      </c>
      <c r="E218">
        <v>5</v>
      </c>
      <c r="F218">
        <v>8</v>
      </c>
      <c r="G218">
        <v>40</v>
      </c>
      <c r="H218" t="s">
        <v>49</v>
      </c>
      <c r="I218" t="s">
        <v>16</v>
      </c>
      <c r="J218" s="1">
        <v>44967</v>
      </c>
      <c r="K218" t="b">
        <v>0</v>
      </c>
    </row>
    <row r="219" spans="1:11" x14ac:dyDescent="0.35">
      <c r="A219" t="s">
        <v>388</v>
      </c>
      <c r="B219" t="s">
        <v>18</v>
      </c>
      <c r="C219" t="s">
        <v>135</v>
      </c>
      <c r="D219" t="s">
        <v>389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  <c r="K219" t="b">
        <v>0</v>
      </c>
    </row>
    <row r="220" spans="1:11" x14ac:dyDescent="0.35">
      <c r="A220" t="s">
        <v>390</v>
      </c>
      <c r="B220" t="s">
        <v>103</v>
      </c>
      <c r="C220" t="s">
        <v>135</v>
      </c>
      <c r="D220" t="s">
        <v>242</v>
      </c>
      <c r="E220">
        <v>35</v>
      </c>
      <c r="F220">
        <v>7</v>
      </c>
      <c r="G220">
        <v>245</v>
      </c>
      <c r="H220" t="s">
        <v>49</v>
      </c>
      <c r="I220" t="s">
        <v>16</v>
      </c>
      <c r="J220" s="1">
        <v>45150</v>
      </c>
      <c r="K220" t="b">
        <v>0</v>
      </c>
    </row>
    <row r="221" spans="1:11" x14ac:dyDescent="0.35">
      <c r="A221" t="s">
        <v>391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49</v>
      </c>
      <c r="I221" t="s">
        <v>38</v>
      </c>
      <c r="J221" s="1">
        <v>45319</v>
      </c>
      <c r="K221" t="b">
        <v>0</v>
      </c>
    </row>
    <row r="222" spans="1:11" x14ac:dyDescent="0.35">
      <c r="A222" t="s">
        <v>392</v>
      </c>
      <c r="B222" t="s">
        <v>78</v>
      </c>
      <c r="C222" t="s">
        <v>19</v>
      </c>
      <c r="D222" t="s">
        <v>393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5">
      <c r="A223" t="s">
        <v>394</v>
      </c>
      <c r="B223" t="s">
        <v>81</v>
      </c>
      <c r="C223" t="s">
        <v>28</v>
      </c>
      <c r="D223" t="s">
        <v>109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  <c r="K223" t="b">
        <v>0</v>
      </c>
    </row>
    <row r="224" spans="1:11" x14ac:dyDescent="0.35">
      <c r="A224" t="s">
        <v>395</v>
      </c>
      <c r="B224" t="s">
        <v>121</v>
      </c>
      <c r="C224" t="s">
        <v>19</v>
      </c>
      <c r="D224" t="s">
        <v>203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5">
      <c r="A225" t="s">
        <v>396</v>
      </c>
      <c r="B225" t="s">
        <v>44</v>
      </c>
      <c r="C225" t="s">
        <v>135</v>
      </c>
      <c r="D225" t="s">
        <v>329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5">
      <c r="A226" t="s">
        <v>397</v>
      </c>
      <c r="B226" t="s">
        <v>121</v>
      </c>
      <c r="C226" t="s">
        <v>13</v>
      </c>
      <c r="D226" t="s">
        <v>57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  <c r="K226" t="b">
        <v>0</v>
      </c>
    </row>
    <row r="227" spans="1:11" x14ac:dyDescent="0.35">
      <c r="A227" t="s">
        <v>398</v>
      </c>
      <c r="B227" t="s">
        <v>118</v>
      </c>
      <c r="C227" t="s">
        <v>23</v>
      </c>
      <c r="D227" t="s">
        <v>399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  <c r="K227" t="b">
        <v>0</v>
      </c>
    </row>
    <row r="228" spans="1:11" x14ac:dyDescent="0.35">
      <c r="A228" t="s">
        <v>400</v>
      </c>
      <c r="B228" t="s">
        <v>105</v>
      </c>
      <c r="C228" t="s">
        <v>32</v>
      </c>
      <c r="D228" t="s">
        <v>367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5">
      <c r="A229" t="s">
        <v>401</v>
      </c>
      <c r="B229" t="s">
        <v>94</v>
      </c>
      <c r="C229" t="s">
        <v>13</v>
      </c>
      <c r="D229" t="s">
        <v>101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5">
      <c r="A230" t="s">
        <v>402</v>
      </c>
      <c r="B230" t="s">
        <v>18</v>
      </c>
      <c r="C230" t="s">
        <v>28</v>
      </c>
      <c r="D230" t="s">
        <v>403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5">
      <c r="A231" t="s">
        <v>404</v>
      </c>
      <c r="B231" t="s">
        <v>105</v>
      </c>
      <c r="C231" t="s">
        <v>23</v>
      </c>
      <c r="D231" t="s">
        <v>218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5">
      <c r="A232" t="s">
        <v>405</v>
      </c>
      <c r="B232" t="s">
        <v>31</v>
      </c>
      <c r="C232" t="s">
        <v>23</v>
      </c>
      <c r="D232" t="s">
        <v>119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  <c r="K232" t="b">
        <v>0</v>
      </c>
    </row>
    <row r="233" spans="1:11" x14ac:dyDescent="0.35">
      <c r="A233" t="s">
        <v>406</v>
      </c>
      <c r="B233" t="s">
        <v>40</v>
      </c>
      <c r="C233" t="s">
        <v>23</v>
      </c>
      <c r="D233" t="s">
        <v>140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5">
      <c r="A234" t="s">
        <v>407</v>
      </c>
      <c r="B234" t="s">
        <v>65</v>
      </c>
      <c r="C234" t="s">
        <v>32</v>
      </c>
      <c r="D234" t="s">
        <v>99</v>
      </c>
      <c r="E234">
        <v>30.5</v>
      </c>
      <c r="F234">
        <v>1</v>
      </c>
      <c r="G234">
        <v>30.5</v>
      </c>
      <c r="H234" t="s">
        <v>49</v>
      </c>
      <c r="I234" t="s">
        <v>16</v>
      </c>
      <c r="J234" s="1">
        <v>45138</v>
      </c>
      <c r="K234" t="b">
        <v>1</v>
      </c>
    </row>
    <row r="235" spans="1:11" x14ac:dyDescent="0.35">
      <c r="A235" t="s">
        <v>408</v>
      </c>
      <c r="B235" t="s">
        <v>22</v>
      </c>
      <c r="C235" t="s">
        <v>69</v>
      </c>
      <c r="D235" t="s">
        <v>124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  <c r="K235" t="b">
        <v>0</v>
      </c>
    </row>
    <row r="236" spans="1:11" x14ac:dyDescent="0.35">
      <c r="A236" t="s">
        <v>409</v>
      </c>
      <c r="B236" t="s">
        <v>56</v>
      </c>
      <c r="C236" t="s">
        <v>69</v>
      </c>
      <c r="D236" t="s">
        <v>354</v>
      </c>
      <c r="E236">
        <v>38</v>
      </c>
      <c r="F236">
        <v>1</v>
      </c>
      <c r="G236">
        <v>38</v>
      </c>
      <c r="H236" t="s">
        <v>49</v>
      </c>
      <c r="I236" t="s">
        <v>16</v>
      </c>
      <c r="J236" s="1">
        <v>45154</v>
      </c>
      <c r="K236" t="b">
        <v>0</v>
      </c>
    </row>
    <row r="237" spans="1:11" x14ac:dyDescent="0.35">
      <c r="A237" t="s">
        <v>410</v>
      </c>
      <c r="B237" t="s">
        <v>27</v>
      </c>
      <c r="C237" t="s">
        <v>32</v>
      </c>
      <c r="D237" t="s">
        <v>411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  <c r="K237" t="b">
        <v>1</v>
      </c>
    </row>
    <row r="238" spans="1:11" x14ac:dyDescent="0.35">
      <c r="A238" t="s">
        <v>412</v>
      </c>
      <c r="B238" t="s">
        <v>105</v>
      </c>
      <c r="C238" t="s">
        <v>69</v>
      </c>
      <c r="D238" t="s">
        <v>106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5">
      <c r="A239" t="s">
        <v>413</v>
      </c>
      <c r="B239" t="s">
        <v>81</v>
      </c>
      <c r="C239" t="s">
        <v>28</v>
      </c>
      <c r="D239" t="s">
        <v>109</v>
      </c>
      <c r="E239">
        <v>41</v>
      </c>
      <c r="F239">
        <v>5</v>
      </c>
      <c r="G239">
        <v>205</v>
      </c>
      <c r="H239" t="s">
        <v>49</v>
      </c>
      <c r="I239" t="s">
        <v>38</v>
      </c>
      <c r="J239" s="1">
        <v>45211</v>
      </c>
      <c r="K239" t="b">
        <v>0</v>
      </c>
    </row>
    <row r="240" spans="1:11" x14ac:dyDescent="0.35">
      <c r="A240" t="s">
        <v>414</v>
      </c>
      <c r="B240" t="s">
        <v>40</v>
      </c>
      <c r="C240" t="s">
        <v>32</v>
      </c>
      <c r="D240" t="s">
        <v>133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5">
      <c r="A241" t="s">
        <v>415</v>
      </c>
      <c r="B241" t="s">
        <v>113</v>
      </c>
      <c r="C241" t="s">
        <v>135</v>
      </c>
      <c r="D241" t="s">
        <v>144</v>
      </c>
      <c r="E241">
        <v>11</v>
      </c>
      <c r="F241">
        <v>10</v>
      </c>
      <c r="G241">
        <v>110</v>
      </c>
      <c r="H241" t="s">
        <v>49</v>
      </c>
      <c r="I241" t="s">
        <v>16</v>
      </c>
      <c r="J241" s="1">
        <v>45320</v>
      </c>
      <c r="K241" t="b">
        <v>0</v>
      </c>
    </row>
    <row r="242" spans="1:11" x14ac:dyDescent="0.35">
      <c r="A242" t="s">
        <v>416</v>
      </c>
      <c r="B242" t="s">
        <v>94</v>
      </c>
      <c r="C242" t="s">
        <v>19</v>
      </c>
      <c r="D242" t="s">
        <v>274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5">
      <c r="A243" t="s">
        <v>417</v>
      </c>
      <c r="B243" t="s">
        <v>103</v>
      </c>
      <c r="C243" t="s">
        <v>19</v>
      </c>
      <c r="D243" t="s">
        <v>211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5">
      <c r="A244" t="s">
        <v>418</v>
      </c>
      <c r="B244" t="s">
        <v>12</v>
      </c>
      <c r="C244" t="s">
        <v>19</v>
      </c>
      <c r="D244" t="s">
        <v>393</v>
      </c>
      <c r="E244">
        <v>6.5</v>
      </c>
      <c r="F244">
        <v>1</v>
      </c>
      <c r="G244">
        <v>6.5</v>
      </c>
      <c r="H244" t="s">
        <v>49</v>
      </c>
      <c r="I244" t="s">
        <v>16</v>
      </c>
      <c r="J244" s="1">
        <v>44880</v>
      </c>
      <c r="K244" t="b">
        <v>0</v>
      </c>
    </row>
    <row r="245" spans="1:11" x14ac:dyDescent="0.35">
      <c r="A245" t="s">
        <v>419</v>
      </c>
      <c r="B245" t="s">
        <v>94</v>
      </c>
      <c r="C245" t="s">
        <v>32</v>
      </c>
      <c r="D245" t="s">
        <v>131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5">
      <c r="A246" t="s">
        <v>420</v>
      </c>
      <c r="B246" t="s">
        <v>22</v>
      </c>
      <c r="C246" t="s">
        <v>69</v>
      </c>
      <c r="D246" t="s">
        <v>106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5">
      <c r="A247" t="s">
        <v>421</v>
      </c>
      <c r="B247" t="s">
        <v>89</v>
      </c>
      <c r="C247" t="s">
        <v>69</v>
      </c>
      <c r="D247" t="s">
        <v>422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  <c r="K247" t="b">
        <v>0</v>
      </c>
    </row>
    <row r="248" spans="1:11" x14ac:dyDescent="0.35">
      <c r="A248" t="s">
        <v>423</v>
      </c>
      <c r="B248" t="s">
        <v>113</v>
      </c>
      <c r="C248" t="s">
        <v>13</v>
      </c>
      <c r="D248" t="s">
        <v>97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  <c r="K248" t="b">
        <v>0</v>
      </c>
    </row>
    <row r="249" spans="1:11" x14ac:dyDescent="0.35">
      <c r="A249" t="s">
        <v>424</v>
      </c>
      <c r="B249" t="s">
        <v>128</v>
      </c>
      <c r="C249" t="s">
        <v>69</v>
      </c>
      <c r="D249" t="s">
        <v>369</v>
      </c>
      <c r="E249">
        <v>21.5</v>
      </c>
      <c r="F249">
        <v>7</v>
      </c>
      <c r="G249">
        <v>150.5</v>
      </c>
      <c r="H249" t="s">
        <v>49</v>
      </c>
      <c r="I249" t="s">
        <v>16</v>
      </c>
      <c r="J249" s="1">
        <v>45015</v>
      </c>
      <c r="K249" t="b">
        <v>0</v>
      </c>
    </row>
    <row r="250" spans="1:11" x14ac:dyDescent="0.35">
      <c r="A250" t="s">
        <v>425</v>
      </c>
      <c r="B250" t="s">
        <v>68</v>
      </c>
      <c r="C250" t="s">
        <v>28</v>
      </c>
      <c r="D250" t="s">
        <v>271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5">
      <c r="A251" t="s">
        <v>426</v>
      </c>
      <c r="B251" t="s">
        <v>47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  <c r="K251" t="b">
        <v>0</v>
      </c>
    </row>
    <row r="252" spans="1:11" x14ac:dyDescent="0.35">
      <c r="A252" t="s">
        <v>427</v>
      </c>
      <c r="B252" t="s">
        <v>31</v>
      </c>
      <c r="C252" t="s">
        <v>19</v>
      </c>
      <c r="D252" t="s">
        <v>393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  <c r="K252" t="b">
        <v>0</v>
      </c>
    </row>
    <row r="253" spans="1:11" x14ac:dyDescent="0.35">
      <c r="A253" t="s">
        <v>428</v>
      </c>
      <c r="B253" t="s">
        <v>36</v>
      </c>
      <c r="C253" t="s">
        <v>135</v>
      </c>
      <c r="D253" t="s">
        <v>429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  <c r="K253" t="b">
        <v>0</v>
      </c>
    </row>
    <row r="254" spans="1:11" x14ac:dyDescent="0.35">
      <c r="A254" t="s">
        <v>430</v>
      </c>
      <c r="B254" t="s">
        <v>103</v>
      </c>
      <c r="C254" t="s">
        <v>28</v>
      </c>
      <c r="D254" t="s">
        <v>129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5">
      <c r="A255" t="s">
        <v>431</v>
      </c>
      <c r="B255" t="s">
        <v>128</v>
      </c>
      <c r="C255" t="s">
        <v>41</v>
      </c>
      <c r="D255" t="s">
        <v>432</v>
      </c>
      <c r="E255">
        <v>12.5</v>
      </c>
      <c r="F255">
        <v>1</v>
      </c>
      <c r="G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5">
      <c r="A256" t="s">
        <v>433</v>
      </c>
      <c r="B256" t="s">
        <v>56</v>
      </c>
      <c r="C256" t="s">
        <v>32</v>
      </c>
      <c r="D256" t="s">
        <v>82</v>
      </c>
      <c r="E256">
        <v>18.5</v>
      </c>
      <c r="F256">
        <v>7</v>
      </c>
      <c r="G256">
        <v>129.5</v>
      </c>
      <c r="H256" t="s">
        <v>49</v>
      </c>
      <c r="I256" t="s">
        <v>38</v>
      </c>
      <c r="J256" s="1">
        <v>45089</v>
      </c>
      <c r="K256" t="b">
        <v>0</v>
      </c>
    </row>
    <row r="257" spans="1:11" x14ac:dyDescent="0.35">
      <c r="A257" t="s">
        <v>434</v>
      </c>
      <c r="B257" t="s">
        <v>65</v>
      </c>
      <c r="C257" t="s">
        <v>41</v>
      </c>
      <c r="D257" t="s">
        <v>306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  <c r="K257" t="b">
        <v>0</v>
      </c>
    </row>
    <row r="258" spans="1:11" x14ac:dyDescent="0.35">
      <c r="A258" t="s">
        <v>435</v>
      </c>
      <c r="B258" t="s">
        <v>121</v>
      </c>
      <c r="C258" t="s">
        <v>41</v>
      </c>
      <c r="D258" t="s">
        <v>85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  <c r="K258" t="b">
        <v>0</v>
      </c>
    </row>
    <row r="259" spans="1:11" x14ac:dyDescent="0.35">
      <c r="A259" t="s">
        <v>436</v>
      </c>
      <c r="B259" t="s">
        <v>72</v>
      </c>
      <c r="C259" t="s">
        <v>19</v>
      </c>
      <c r="D259" t="s">
        <v>276</v>
      </c>
      <c r="E259">
        <v>39.5</v>
      </c>
      <c r="F259">
        <v>3</v>
      </c>
      <c r="G259">
        <v>118.5</v>
      </c>
      <c r="H259" t="s">
        <v>49</v>
      </c>
      <c r="I259" t="s">
        <v>16</v>
      </c>
      <c r="J259" s="1">
        <v>44993</v>
      </c>
      <c r="K259" t="b">
        <v>0</v>
      </c>
    </row>
    <row r="260" spans="1:11" x14ac:dyDescent="0.35">
      <c r="A260" t="s">
        <v>437</v>
      </c>
      <c r="B260" t="s">
        <v>84</v>
      </c>
      <c r="C260" t="s">
        <v>32</v>
      </c>
      <c r="D260" t="s">
        <v>95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5">
      <c r="A261" t="s">
        <v>438</v>
      </c>
      <c r="B261" t="s">
        <v>172</v>
      </c>
      <c r="C261" t="s">
        <v>32</v>
      </c>
      <c r="D261" t="s">
        <v>99</v>
      </c>
      <c r="E261">
        <v>20</v>
      </c>
      <c r="F261">
        <v>1</v>
      </c>
      <c r="G261">
        <v>20</v>
      </c>
      <c r="H261" t="s">
        <v>15</v>
      </c>
      <c r="I261" t="s">
        <v>38</v>
      </c>
      <c r="J261" s="1">
        <v>44698</v>
      </c>
      <c r="K261" t="b">
        <v>1</v>
      </c>
    </row>
    <row r="262" spans="1:11" x14ac:dyDescent="0.35">
      <c r="A262" t="s">
        <v>439</v>
      </c>
      <c r="B262" t="s">
        <v>89</v>
      </c>
      <c r="C262" t="s">
        <v>13</v>
      </c>
      <c r="D262" t="s">
        <v>101</v>
      </c>
      <c r="E262">
        <v>12.5</v>
      </c>
      <c r="F262">
        <v>3</v>
      </c>
      <c r="G262">
        <v>37.5</v>
      </c>
      <c r="H262" t="s">
        <v>49</v>
      </c>
      <c r="I262" t="s">
        <v>38</v>
      </c>
      <c r="J262" s="1">
        <v>45378</v>
      </c>
      <c r="K262" t="b">
        <v>0</v>
      </c>
    </row>
    <row r="263" spans="1:11" x14ac:dyDescent="0.35">
      <c r="A263" t="s">
        <v>440</v>
      </c>
      <c r="B263" t="s">
        <v>113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5">
      <c r="A264" t="s">
        <v>441</v>
      </c>
      <c r="B264" t="s">
        <v>172</v>
      </c>
      <c r="C264" t="s">
        <v>23</v>
      </c>
      <c r="D264" t="s">
        <v>228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5">
      <c r="A265" t="s">
        <v>442</v>
      </c>
      <c r="B265" t="s">
        <v>121</v>
      </c>
      <c r="C265" t="s">
        <v>41</v>
      </c>
      <c r="D265" t="s">
        <v>306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5">
      <c r="A266" t="s">
        <v>443</v>
      </c>
      <c r="B266" t="s">
        <v>113</v>
      </c>
      <c r="C266" t="s">
        <v>19</v>
      </c>
      <c r="D266" t="s">
        <v>287</v>
      </c>
      <c r="E266">
        <v>8</v>
      </c>
      <c r="F266">
        <v>9</v>
      </c>
      <c r="G266">
        <v>72</v>
      </c>
      <c r="H266" t="s">
        <v>49</v>
      </c>
      <c r="I266" t="s">
        <v>38</v>
      </c>
      <c r="J266" s="1">
        <v>44564</v>
      </c>
      <c r="K266" t="b">
        <v>0</v>
      </c>
    </row>
    <row r="267" spans="1:11" x14ac:dyDescent="0.35">
      <c r="A267" t="s">
        <v>444</v>
      </c>
      <c r="B267" t="s">
        <v>78</v>
      </c>
      <c r="C267" t="s">
        <v>135</v>
      </c>
      <c r="D267" t="s">
        <v>144</v>
      </c>
      <c r="E267">
        <v>11</v>
      </c>
      <c r="F267">
        <v>5</v>
      </c>
      <c r="G267">
        <v>55</v>
      </c>
      <c r="H267" t="s">
        <v>49</v>
      </c>
      <c r="I267" t="s">
        <v>38</v>
      </c>
      <c r="J267" s="1">
        <v>44614</v>
      </c>
      <c r="K267" t="b">
        <v>0</v>
      </c>
    </row>
    <row r="268" spans="1:11" x14ac:dyDescent="0.35">
      <c r="A268" t="s">
        <v>445</v>
      </c>
      <c r="B268" t="s">
        <v>84</v>
      </c>
      <c r="C268" t="s">
        <v>135</v>
      </c>
      <c r="D268" t="s">
        <v>446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5">
      <c r="A269" t="s">
        <v>447</v>
      </c>
      <c r="B269" t="s">
        <v>22</v>
      </c>
      <c r="C269" t="s">
        <v>13</v>
      </c>
      <c r="D269" t="s">
        <v>182</v>
      </c>
      <c r="E269">
        <v>14</v>
      </c>
      <c r="F269">
        <v>7</v>
      </c>
      <c r="G269">
        <v>98</v>
      </c>
      <c r="H269" t="s">
        <v>49</v>
      </c>
      <c r="I269" t="s">
        <v>16</v>
      </c>
      <c r="J269" s="1">
        <v>45600</v>
      </c>
      <c r="K269" t="b">
        <v>0</v>
      </c>
    </row>
    <row r="270" spans="1:11" x14ac:dyDescent="0.35">
      <c r="A270" t="s">
        <v>448</v>
      </c>
      <c r="B270" t="s">
        <v>47</v>
      </c>
      <c r="C270" t="s">
        <v>19</v>
      </c>
      <c r="D270" t="s">
        <v>203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  <c r="K270" t="b">
        <v>0</v>
      </c>
    </row>
    <row r="271" spans="1:11" x14ac:dyDescent="0.35">
      <c r="A271" t="s">
        <v>449</v>
      </c>
      <c r="B271" t="s">
        <v>103</v>
      </c>
      <c r="C271" t="s">
        <v>23</v>
      </c>
      <c r="D271" t="s">
        <v>119</v>
      </c>
      <c r="E271">
        <v>38</v>
      </c>
      <c r="F271">
        <v>1</v>
      </c>
      <c r="G271">
        <v>38</v>
      </c>
      <c r="H271" t="s">
        <v>49</v>
      </c>
      <c r="I271" t="s">
        <v>38</v>
      </c>
      <c r="J271" s="1">
        <v>45549</v>
      </c>
      <c r="K271" t="b">
        <v>0</v>
      </c>
    </row>
    <row r="272" spans="1:11" x14ac:dyDescent="0.35">
      <c r="A272" t="s">
        <v>450</v>
      </c>
      <c r="B272" t="s">
        <v>65</v>
      </c>
      <c r="C272" t="s">
        <v>135</v>
      </c>
      <c r="D272" t="s">
        <v>296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5">
      <c r="A273" t="s">
        <v>451</v>
      </c>
      <c r="B273" t="s">
        <v>68</v>
      </c>
      <c r="C273" t="s">
        <v>19</v>
      </c>
      <c r="D273" t="s">
        <v>66</v>
      </c>
      <c r="E273">
        <v>11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  <c r="K273" t="b">
        <v>0</v>
      </c>
    </row>
    <row r="274" spans="1:11" x14ac:dyDescent="0.35">
      <c r="A274" t="s">
        <v>452</v>
      </c>
      <c r="B274" t="s">
        <v>84</v>
      </c>
      <c r="C274" t="s">
        <v>135</v>
      </c>
      <c r="D274" t="s">
        <v>429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  <c r="K274" t="b">
        <v>0</v>
      </c>
    </row>
    <row r="275" spans="1:11" x14ac:dyDescent="0.35">
      <c r="A275" t="s">
        <v>453</v>
      </c>
      <c r="B275" t="s">
        <v>44</v>
      </c>
      <c r="C275" t="s">
        <v>41</v>
      </c>
      <c r="D275" t="s">
        <v>92</v>
      </c>
      <c r="E275">
        <v>41</v>
      </c>
      <c r="F275">
        <v>3</v>
      </c>
      <c r="G275">
        <v>123</v>
      </c>
      <c r="H275" t="s">
        <v>49</v>
      </c>
      <c r="I275" t="s">
        <v>38</v>
      </c>
      <c r="J275" s="1">
        <v>45553</v>
      </c>
      <c r="K275" t="b">
        <v>0</v>
      </c>
    </row>
    <row r="276" spans="1:11" x14ac:dyDescent="0.35">
      <c r="A276" t="s">
        <v>454</v>
      </c>
      <c r="B276" t="s">
        <v>31</v>
      </c>
      <c r="C276" t="s">
        <v>135</v>
      </c>
      <c r="D276" t="s">
        <v>363</v>
      </c>
      <c r="E276">
        <v>32</v>
      </c>
      <c r="F276">
        <v>4</v>
      </c>
      <c r="G276">
        <v>128</v>
      </c>
      <c r="H276" t="s">
        <v>49</v>
      </c>
      <c r="I276" t="s">
        <v>38</v>
      </c>
      <c r="J276" s="1">
        <v>45634</v>
      </c>
      <c r="K276" t="b">
        <v>0</v>
      </c>
    </row>
    <row r="277" spans="1:11" x14ac:dyDescent="0.35">
      <c r="A277" t="s">
        <v>455</v>
      </c>
      <c r="B277" t="s">
        <v>172</v>
      </c>
      <c r="C277" t="s">
        <v>41</v>
      </c>
      <c r="D277" t="s">
        <v>456</v>
      </c>
      <c r="E277">
        <v>26</v>
      </c>
      <c r="F277">
        <v>9</v>
      </c>
      <c r="G277">
        <v>234</v>
      </c>
      <c r="H277" t="s">
        <v>49</v>
      </c>
      <c r="I277" t="s">
        <v>38</v>
      </c>
      <c r="J277" s="1">
        <v>44575</v>
      </c>
      <c r="K277" t="b">
        <v>0</v>
      </c>
    </row>
    <row r="278" spans="1:11" x14ac:dyDescent="0.35">
      <c r="A278" t="s">
        <v>457</v>
      </c>
      <c r="B278" t="s">
        <v>72</v>
      </c>
      <c r="C278" t="s">
        <v>13</v>
      </c>
      <c r="D278" t="s">
        <v>458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5">
      <c r="A279" t="s">
        <v>459</v>
      </c>
      <c r="B279" t="s">
        <v>68</v>
      </c>
      <c r="C279" t="s">
        <v>135</v>
      </c>
      <c r="D279" t="s">
        <v>363</v>
      </c>
      <c r="E279">
        <v>32</v>
      </c>
      <c r="F279">
        <v>1</v>
      </c>
      <c r="G279">
        <v>32</v>
      </c>
      <c r="H279" t="s">
        <v>15</v>
      </c>
      <c r="I279" t="s">
        <v>38</v>
      </c>
      <c r="J279" s="1">
        <v>45468</v>
      </c>
      <c r="K279" t="b">
        <v>0</v>
      </c>
    </row>
    <row r="280" spans="1:11" x14ac:dyDescent="0.35">
      <c r="A280" t="s">
        <v>460</v>
      </c>
      <c r="B280" t="s">
        <v>172</v>
      </c>
      <c r="C280" t="s">
        <v>28</v>
      </c>
      <c r="D280" t="s">
        <v>311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  <c r="K280" t="b">
        <v>0</v>
      </c>
    </row>
    <row r="281" spans="1:11" x14ac:dyDescent="0.35">
      <c r="A281" t="s">
        <v>461</v>
      </c>
      <c r="B281" t="s">
        <v>118</v>
      </c>
      <c r="C281" t="s">
        <v>28</v>
      </c>
      <c r="D281" t="s">
        <v>311</v>
      </c>
      <c r="E281">
        <v>6.5</v>
      </c>
      <c r="F281">
        <v>1</v>
      </c>
      <c r="G281">
        <v>6.5</v>
      </c>
      <c r="H281" t="s">
        <v>49</v>
      </c>
      <c r="I281" t="s">
        <v>38</v>
      </c>
      <c r="J281" s="1">
        <v>45433</v>
      </c>
      <c r="K281" t="b">
        <v>0</v>
      </c>
    </row>
    <row r="282" spans="1:11" x14ac:dyDescent="0.35">
      <c r="A282" t="s">
        <v>462</v>
      </c>
      <c r="B282" t="s">
        <v>94</v>
      </c>
      <c r="C282" t="s">
        <v>28</v>
      </c>
      <c r="D282" t="s">
        <v>75</v>
      </c>
      <c r="E282">
        <v>8</v>
      </c>
      <c r="F282">
        <v>6</v>
      </c>
      <c r="G282">
        <v>48</v>
      </c>
      <c r="H282" t="s">
        <v>49</v>
      </c>
      <c r="I282" t="s">
        <v>16</v>
      </c>
      <c r="J282" s="1">
        <v>45348</v>
      </c>
      <c r="K282" t="b">
        <v>0</v>
      </c>
    </row>
    <row r="283" spans="1:11" x14ac:dyDescent="0.35">
      <c r="A283" t="s">
        <v>463</v>
      </c>
      <c r="B283" t="s">
        <v>44</v>
      </c>
      <c r="C283" t="s">
        <v>135</v>
      </c>
      <c r="D283" t="s">
        <v>230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5">
      <c r="A284" t="s">
        <v>464</v>
      </c>
      <c r="B284" t="s">
        <v>118</v>
      </c>
      <c r="C284" t="s">
        <v>13</v>
      </c>
      <c r="D284" t="s">
        <v>57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  <c r="K284" t="b">
        <v>0</v>
      </c>
    </row>
    <row r="285" spans="1:11" x14ac:dyDescent="0.35">
      <c r="A285" t="s">
        <v>465</v>
      </c>
      <c r="B285" t="s">
        <v>103</v>
      </c>
      <c r="C285" t="s">
        <v>135</v>
      </c>
      <c r="D285" t="s">
        <v>144</v>
      </c>
      <c r="E285">
        <v>11</v>
      </c>
      <c r="F285">
        <v>5</v>
      </c>
      <c r="G285">
        <v>55</v>
      </c>
      <c r="H285" t="s">
        <v>49</v>
      </c>
      <c r="I285" t="s">
        <v>38</v>
      </c>
      <c r="J285" s="1">
        <v>44901</v>
      </c>
      <c r="K285" t="b">
        <v>0</v>
      </c>
    </row>
    <row r="286" spans="1:11" x14ac:dyDescent="0.35">
      <c r="A286" t="s">
        <v>466</v>
      </c>
      <c r="B286" t="s">
        <v>72</v>
      </c>
      <c r="C286" t="s">
        <v>69</v>
      </c>
      <c r="D286" t="s">
        <v>467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5">
      <c r="A287" t="s">
        <v>468</v>
      </c>
      <c r="B287" t="s">
        <v>31</v>
      </c>
      <c r="C287" t="s">
        <v>28</v>
      </c>
      <c r="D287" t="s">
        <v>469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  <c r="K287" t="b">
        <v>0</v>
      </c>
    </row>
    <row r="288" spans="1:11" x14ac:dyDescent="0.35">
      <c r="A288" t="s">
        <v>470</v>
      </c>
      <c r="B288" t="s">
        <v>94</v>
      </c>
      <c r="C288" t="s">
        <v>28</v>
      </c>
      <c r="D288" t="s">
        <v>255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5">
      <c r="A289" t="s">
        <v>471</v>
      </c>
      <c r="B289" t="s">
        <v>36</v>
      </c>
      <c r="C289" t="s">
        <v>23</v>
      </c>
      <c r="D289" t="s">
        <v>309</v>
      </c>
      <c r="E289">
        <v>23</v>
      </c>
      <c r="F289">
        <v>6</v>
      </c>
      <c r="G289">
        <v>138</v>
      </c>
      <c r="H289" t="s">
        <v>49</v>
      </c>
      <c r="I289" t="s">
        <v>38</v>
      </c>
      <c r="J289" s="1">
        <v>45114</v>
      </c>
      <c r="K289" t="b">
        <v>1</v>
      </c>
    </row>
    <row r="290" spans="1:11" x14ac:dyDescent="0.35">
      <c r="A290" t="s">
        <v>472</v>
      </c>
      <c r="B290" t="s">
        <v>84</v>
      </c>
      <c r="C290" t="s">
        <v>23</v>
      </c>
      <c r="D290" t="s">
        <v>473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5">
      <c r="A291" t="s">
        <v>474</v>
      </c>
      <c r="B291" t="s">
        <v>18</v>
      </c>
      <c r="C291" t="s">
        <v>23</v>
      </c>
      <c r="D291" t="s">
        <v>90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5">
      <c r="A292" t="s">
        <v>475</v>
      </c>
      <c r="B292" t="s">
        <v>31</v>
      </c>
      <c r="C292" t="s">
        <v>19</v>
      </c>
      <c r="D292" t="s">
        <v>66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  <c r="K292" t="b">
        <v>0</v>
      </c>
    </row>
    <row r="293" spans="1:11" x14ac:dyDescent="0.35">
      <c r="A293" t="s">
        <v>476</v>
      </c>
      <c r="B293" t="s">
        <v>172</v>
      </c>
      <c r="C293" t="s">
        <v>19</v>
      </c>
      <c r="D293" t="s">
        <v>276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5">
      <c r="A294" t="s">
        <v>477</v>
      </c>
      <c r="B294" t="s">
        <v>72</v>
      </c>
      <c r="C294" t="s">
        <v>135</v>
      </c>
      <c r="D294" t="s">
        <v>246</v>
      </c>
      <c r="E294">
        <v>15.5</v>
      </c>
      <c r="F294">
        <v>1</v>
      </c>
      <c r="G294">
        <v>15.5</v>
      </c>
      <c r="H294" t="s">
        <v>49</v>
      </c>
      <c r="I294" t="s">
        <v>38</v>
      </c>
      <c r="J294" s="1">
        <v>45604</v>
      </c>
      <c r="K294" t="b">
        <v>0</v>
      </c>
    </row>
    <row r="295" spans="1:11" x14ac:dyDescent="0.35">
      <c r="A295" t="s">
        <v>478</v>
      </c>
      <c r="B295" t="s">
        <v>40</v>
      </c>
      <c r="C295" t="s">
        <v>19</v>
      </c>
      <c r="D295" t="s">
        <v>276</v>
      </c>
      <c r="E295">
        <v>33.5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5">
      <c r="A296" t="s">
        <v>479</v>
      </c>
      <c r="B296" t="s">
        <v>12</v>
      </c>
      <c r="C296" t="s">
        <v>69</v>
      </c>
      <c r="D296" t="s">
        <v>216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5">
      <c r="A297" t="s">
        <v>480</v>
      </c>
      <c r="B297" t="s">
        <v>40</v>
      </c>
      <c r="C297" t="s">
        <v>28</v>
      </c>
      <c r="D297" t="s">
        <v>481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5">
      <c r="A298" t="s">
        <v>482</v>
      </c>
      <c r="B298" t="s">
        <v>72</v>
      </c>
      <c r="C298" t="s">
        <v>23</v>
      </c>
      <c r="D298" t="s">
        <v>228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5">
      <c r="A299" t="s">
        <v>483</v>
      </c>
      <c r="B299" t="s">
        <v>72</v>
      </c>
      <c r="C299" t="s">
        <v>19</v>
      </c>
      <c r="D299" t="s">
        <v>66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5">
      <c r="A300" t="s">
        <v>484</v>
      </c>
      <c r="B300" t="s">
        <v>113</v>
      </c>
      <c r="C300" t="s">
        <v>32</v>
      </c>
      <c r="D300" t="s">
        <v>485</v>
      </c>
      <c r="E300">
        <v>23</v>
      </c>
      <c r="F300">
        <v>5</v>
      </c>
      <c r="G300">
        <v>115</v>
      </c>
      <c r="H300" t="s">
        <v>49</v>
      </c>
      <c r="I300" t="s">
        <v>38</v>
      </c>
      <c r="J300" s="1">
        <v>45365</v>
      </c>
      <c r="K300" t="b">
        <v>0</v>
      </c>
    </row>
    <row r="301" spans="1:11" x14ac:dyDescent="0.35">
      <c r="A301" t="s">
        <v>486</v>
      </c>
      <c r="B301" t="s">
        <v>89</v>
      </c>
      <c r="C301" t="s">
        <v>28</v>
      </c>
      <c r="D301" t="s">
        <v>259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5">
      <c r="A302" t="s">
        <v>487</v>
      </c>
      <c r="B302" t="s">
        <v>105</v>
      </c>
      <c r="C302" t="s">
        <v>41</v>
      </c>
      <c r="D302" t="s">
        <v>298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5">
      <c r="A303" t="s">
        <v>488</v>
      </c>
      <c r="B303" t="s">
        <v>113</v>
      </c>
      <c r="C303" t="s">
        <v>69</v>
      </c>
      <c r="D303" t="s">
        <v>489</v>
      </c>
      <c r="E303">
        <v>20</v>
      </c>
      <c r="F303">
        <v>4</v>
      </c>
      <c r="G303">
        <v>80</v>
      </c>
      <c r="H303" t="s">
        <v>49</v>
      </c>
      <c r="I303" t="s">
        <v>38</v>
      </c>
      <c r="J303" s="1">
        <v>45633</v>
      </c>
      <c r="K303" t="b">
        <v>1</v>
      </c>
    </row>
    <row r="304" spans="1:11" x14ac:dyDescent="0.35">
      <c r="A304" t="s">
        <v>490</v>
      </c>
      <c r="B304" t="s">
        <v>94</v>
      </c>
      <c r="C304" t="s">
        <v>19</v>
      </c>
      <c r="D304" t="s">
        <v>491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  <c r="K304" t="b">
        <v>0</v>
      </c>
    </row>
    <row r="305" spans="1:11" x14ac:dyDescent="0.35">
      <c r="A305" t="s">
        <v>492</v>
      </c>
      <c r="B305" t="s">
        <v>89</v>
      </c>
      <c r="C305" t="s">
        <v>23</v>
      </c>
      <c r="D305" t="s">
        <v>126</v>
      </c>
      <c r="E305">
        <v>39.5</v>
      </c>
      <c r="F305">
        <v>7</v>
      </c>
      <c r="G305">
        <v>276.5</v>
      </c>
      <c r="H305" t="s">
        <v>49</v>
      </c>
      <c r="I305" t="s">
        <v>16</v>
      </c>
      <c r="J305" s="1">
        <v>45296</v>
      </c>
      <c r="K305" t="b">
        <v>1</v>
      </c>
    </row>
    <row r="306" spans="1:11" x14ac:dyDescent="0.35">
      <c r="A306" t="s">
        <v>493</v>
      </c>
      <c r="B306" t="s">
        <v>84</v>
      </c>
      <c r="C306" t="s">
        <v>13</v>
      </c>
      <c r="D306" t="s">
        <v>138</v>
      </c>
      <c r="E306">
        <v>20</v>
      </c>
      <c r="F306">
        <v>4</v>
      </c>
      <c r="G306">
        <v>80</v>
      </c>
      <c r="H306" t="s">
        <v>49</v>
      </c>
      <c r="I306" t="s">
        <v>38</v>
      </c>
      <c r="J306" s="1">
        <v>45469</v>
      </c>
      <c r="K306" t="b">
        <v>0</v>
      </c>
    </row>
    <row r="307" spans="1:11" x14ac:dyDescent="0.35">
      <c r="A307" t="s">
        <v>494</v>
      </c>
      <c r="B307" t="s">
        <v>44</v>
      </c>
      <c r="C307" t="s">
        <v>32</v>
      </c>
      <c r="D307" t="s">
        <v>485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5">
      <c r="A308" t="s">
        <v>495</v>
      </c>
      <c r="B308" t="s">
        <v>65</v>
      </c>
      <c r="C308" t="s">
        <v>41</v>
      </c>
      <c r="D308" t="s">
        <v>87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5">
      <c r="A309" t="s">
        <v>496</v>
      </c>
      <c r="B309" t="s">
        <v>128</v>
      </c>
      <c r="C309" t="s">
        <v>19</v>
      </c>
      <c r="D309" t="s">
        <v>203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  <c r="K309" t="b">
        <v>0</v>
      </c>
    </row>
    <row r="310" spans="1:11" x14ac:dyDescent="0.35">
      <c r="A310" t="s">
        <v>497</v>
      </c>
      <c r="B310" t="s">
        <v>65</v>
      </c>
      <c r="C310" t="s">
        <v>13</v>
      </c>
      <c r="D310" t="s">
        <v>170</v>
      </c>
      <c r="E310">
        <v>21.5</v>
      </c>
      <c r="F310">
        <v>3</v>
      </c>
      <c r="G310">
        <v>64.5</v>
      </c>
      <c r="H310" t="s">
        <v>49</v>
      </c>
      <c r="I310" t="s">
        <v>38</v>
      </c>
      <c r="J310" s="1">
        <v>45652</v>
      </c>
      <c r="K310" t="b">
        <v>0</v>
      </c>
    </row>
    <row r="311" spans="1:11" x14ac:dyDescent="0.35">
      <c r="A311" t="s">
        <v>498</v>
      </c>
      <c r="B311" t="s">
        <v>18</v>
      </c>
      <c r="C311" t="s">
        <v>41</v>
      </c>
      <c r="D311" t="s">
        <v>456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  <c r="K311" t="b">
        <v>0</v>
      </c>
    </row>
    <row r="312" spans="1:11" x14ac:dyDescent="0.35">
      <c r="A312" t="s">
        <v>499</v>
      </c>
      <c r="B312" t="s">
        <v>31</v>
      </c>
      <c r="C312" t="s">
        <v>41</v>
      </c>
      <c r="D312" t="s">
        <v>234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  <c r="K312" t="b">
        <v>1</v>
      </c>
    </row>
    <row r="313" spans="1:11" x14ac:dyDescent="0.35">
      <c r="A313" t="s">
        <v>500</v>
      </c>
      <c r="B313" t="s">
        <v>78</v>
      </c>
      <c r="C313" t="s">
        <v>32</v>
      </c>
      <c r="D313" t="s">
        <v>501</v>
      </c>
      <c r="E313">
        <v>29</v>
      </c>
      <c r="F313">
        <v>8</v>
      </c>
      <c r="G313">
        <v>232</v>
      </c>
      <c r="H313" t="s">
        <v>49</v>
      </c>
      <c r="I313" t="s">
        <v>16</v>
      </c>
      <c r="J313" s="1">
        <v>45625</v>
      </c>
      <c r="K313" t="b">
        <v>1</v>
      </c>
    </row>
    <row r="314" spans="1:11" x14ac:dyDescent="0.35">
      <c r="A314" t="s">
        <v>502</v>
      </c>
      <c r="B314" t="s">
        <v>121</v>
      </c>
      <c r="C314" t="s">
        <v>69</v>
      </c>
      <c r="D314" t="s">
        <v>422</v>
      </c>
      <c r="E314">
        <v>41</v>
      </c>
      <c r="F314">
        <v>1</v>
      </c>
      <c r="G314">
        <v>41</v>
      </c>
      <c r="H314" t="s">
        <v>49</v>
      </c>
      <c r="I314" t="s">
        <v>38</v>
      </c>
      <c r="J314" s="1">
        <v>45590</v>
      </c>
      <c r="K314" t="b">
        <v>1</v>
      </c>
    </row>
    <row r="315" spans="1:11" x14ac:dyDescent="0.35">
      <c r="A315" t="s">
        <v>503</v>
      </c>
      <c r="B315" t="s">
        <v>44</v>
      </c>
      <c r="C315" t="s">
        <v>32</v>
      </c>
      <c r="D315" t="s">
        <v>485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  <c r="K315" t="b">
        <v>1</v>
      </c>
    </row>
    <row r="316" spans="1:11" x14ac:dyDescent="0.35">
      <c r="A316" t="s">
        <v>504</v>
      </c>
      <c r="B316" t="s">
        <v>103</v>
      </c>
      <c r="C316" t="s">
        <v>135</v>
      </c>
      <c r="D316" t="s">
        <v>363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5">
      <c r="A317" t="s">
        <v>505</v>
      </c>
      <c r="B317" t="s">
        <v>172</v>
      </c>
      <c r="C317" t="s">
        <v>13</v>
      </c>
      <c r="D317" t="s">
        <v>506</v>
      </c>
      <c r="E317">
        <v>33.5</v>
      </c>
      <c r="F317">
        <v>10</v>
      </c>
      <c r="G317">
        <v>335</v>
      </c>
      <c r="H317" t="s">
        <v>49</v>
      </c>
      <c r="I317" t="s">
        <v>38</v>
      </c>
      <c r="J317" s="1">
        <v>45433</v>
      </c>
      <c r="K317" t="b">
        <v>0</v>
      </c>
    </row>
    <row r="318" spans="1:11" x14ac:dyDescent="0.35">
      <c r="A318" t="s">
        <v>507</v>
      </c>
      <c r="B318" t="s">
        <v>121</v>
      </c>
      <c r="C318" t="s">
        <v>28</v>
      </c>
      <c r="D318" t="s">
        <v>311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5">
      <c r="A319" t="s">
        <v>508</v>
      </c>
      <c r="B319" t="s">
        <v>44</v>
      </c>
      <c r="C319" t="s">
        <v>28</v>
      </c>
      <c r="D319" t="s">
        <v>259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  <c r="K319" t="b">
        <v>1</v>
      </c>
    </row>
    <row r="320" spans="1:11" x14ac:dyDescent="0.35">
      <c r="A320" t="s">
        <v>509</v>
      </c>
      <c r="B320" t="s">
        <v>31</v>
      </c>
      <c r="C320" t="s">
        <v>23</v>
      </c>
      <c r="D320" t="s">
        <v>48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5">
      <c r="A321" t="s">
        <v>510</v>
      </c>
      <c r="B321" t="s">
        <v>40</v>
      </c>
      <c r="C321" t="s">
        <v>23</v>
      </c>
      <c r="D321" t="s">
        <v>218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5">
      <c r="A322" t="s">
        <v>511</v>
      </c>
      <c r="B322" t="s">
        <v>118</v>
      </c>
      <c r="C322" t="s">
        <v>13</v>
      </c>
      <c r="D322" t="s">
        <v>512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5">
      <c r="A323" t="s">
        <v>513</v>
      </c>
      <c r="B323" t="s">
        <v>68</v>
      </c>
      <c r="C323" t="s">
        <v>135</v>
      </c>
      <c r="D323" t="s">
        <v>240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5">
      <c r="A324" t="s">
        <v>514</v>
      </c>
      <c r="B324" t="s">
        <v>172</v>
      </c>
      <c r="C324" t="s">
        <v>69</v>
      </c>
      <c r="D324" t="s">
        <v>70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5">
      <c r="A325" t="s">
        <v>515</v>
      </c>
      <c r="B325" t="s">
        <v>22</v>
      </c>
      <c r="C325" t="s">
        <v>28</v>
      </c>
      <c r="D325" t="s">
        <v>516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5">
      <c r="A326" t="s">
        <v>517</v>
      </c>
      <c r="B326" t="s">
        <v>81</v>
      </c>
      <c r="C326" t="s">
        <v>23</v>
      </c>
      <c r="D326" t="s">
        <v>51</v>
      </c>
      <c r="E326">
        <v>8</v>
      </c>
      <c r="F326">
        <v>10</v>
      </c>
      <c r="G326">
        <v>80</v>
      </c>
      <c r="H326" t="s">
        <v>49</v>
      </c>
      <c r="I326" t="s">
        <v>16</v>
      </c>
      <c r="J326" s="1">
        <v>44615</v>
      </c>
      <c r="K326" t="b">
        <v>0</v>
      </c>
    </row>
    <row r="327" spans="1:11" x14ac:dyDescent="0.35">
      <c r="A327" t="s">
        <v>518</v>
      </c>
      <c r="B327" t="s">
        <v>22</v>
      </c>
      <c r="C327" t="s">
        <v>135</v>
      </c>
      <c r="D327" t="s">
        <v>519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  <c r="K327" t="b">
        <v>1</v>
      </c>
    </row>
    <row r="328" spans="1:11" x14ac:dyDescent="0.35">
      <c r="A328" t="s">
        <v>520</v>
      </c>
      <c r="B328" t="s">
        <v>44</v>
      </c>
      <c r="C328" t="s">
        <v>13</v>
      </c>
      <c r="D328" t="s">
        <v>197</v>
      </c>
      <c r="E328">
        <v>41</v>
      </c>
      <c r="F328">
        <v>8</v>
      </c>
      <c r="G328">
        <v>328</v>
      </c>
      <c r="H328" t="s">
        <v>49</v>
      </c>
      <c r="I328" t="s">
        <v>38</v>
      </c>
      <c r="J328" s="1">
        <v>45580</v>
      </c>
      <c r="K328" t="b">
        <v>1</v>
      </c>
    </row>
    <row r="329" spans="1:11" x14ac:dyDescent="0.35">
      <c r="A329" t="s">
        <v>521</v>
      </c>
      <c r="B329" t="s">
        <v>31</v>
      </c>
      <c r="C329" t="s">
        <v>69</v>
      </c>
      <c r="D329" t="s">
        <v>70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5">
      <c r="A330" t="s">
        <v>522</v>
      </c>
      <c r="B330" t="s">
        <v>40</v>
      </c>
      <c r="C330" t="s">
        <v>13</v>
      </c>
      <c r="D330" t="s">
        <v>523</v>
      </c>
      <c r="E330">
        <v>15.5</v>
      </c>
      <c r="F330">
        <v>6</v>
      </c>
      <c r="G330">
        <v>93</v>
      </c>
      <c r="H330" t="s">
        <v>49</v>
      </c>
      <c r="I330" t="s">
        <v>16</v>
      </c>
      <c r="J330" s="1">
        <v>45467</v>
      </c>
      <c r="K330" t="b">
        <v>1</v>
      </c>
    </row>
    <row r="331" spans="1:11" x14ac:dyDescent="0.35">
      <c r="A331" t="s">
        <v>524</v>
      </c>
      <c r="B331" t="s">
        <v>113</v>
      </c>
      <c r="C331" t="s">
        <v>28</v>
      </c>
      <c r="D331" t="s">
        <v>116</v>
      </c>
      <c r="E331">
        <v>20</v>
      </c>
      <c r="F331">
        <v>6</v>
      </c>
      <c r="G331">
        <v>120</v>
      </c>
      <c r="H331" t="s">
        <v>49</v>
      </c>
      <c r="I331" t="s">
        <v>16</v>
      </c>
      <c r="J331" s="1">
        <v>45213</v>
      </c>
      <c r="K331" t="b">
        <v>1</v>
      </c>
    </row>
    <row r="332" spans="1:11" x14ac:dyDescent="0.35">
      <c r="A332" t="s">
        <v>525</v>
      </c>
      <c r="B332" t="s">
        <v>47</v>
      </c>
      <c r="C332" t="s">
        <v>13</v>
      </c>
      <c r="D332" t="s">
        <v>138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5">
      <c r="A333" t="s">
        <v>526</v>
      </c>
      <c r="B333" t="s">
        <v>118</v>
      </c>
      <c r="C333" t="s">
        <v>32</v>
      </c>
      <c r="D333" t="s">
        <v>174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5">
      <c r="A334" t="s">
        <v>527</v>
      </c>
      <c r="B334" t="s">
        <v>18</v>
      </c>
      <c r="C334" t="s">
        <v>41</v>
      </c>
      <c r="D334" t="s">
        <v>234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5">
      <c r="A335" t="s">
        <v>528</v>
      </c>
      <c r="B335" t="s">
        <v>40</v>
      </c>
      <c r="C335" t="s">
        <v>32</v>
      </c>
      <c r="D335" t="s">
        <v>99</v>
      </c>
      <c r="E335">
        <v>17</v>
      </c>
      <c r="F335">
        <v>1</v>
      </c>
      <c r="G335">
        <v>17</v>
      </c>
      <c r="H335" t="s">
        <v>49</v>
      </c>
      <c r="I335" t="s">
        <v>38</v>
      </c>
      <c r="J335" s="1">
        <v>45633</v>
      </c>
      <c r="K335" t="b">
        <v>0</v>
      </c>
    </row>
    <row r="336" spans="1:11" x14ac:dyDescent="0.35">
      <c r="A336" t="s">
        <v>529</v>
      </c>
      <c r="B336" t="s">
        <v>56</v>
      </c>
      <c r="C336" t="s">
        <v>41</v>
      </c>
      <c r="D336" t="s">
        <v>87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5">
      <c r="A337" t="s">
        <v>530</v>
      </c>
      <c r="B337" t="s">
        <v>56</v>
      </c>
      <c r="C337" t="s">
        <v>19</v>
      </c>
      <c r="D337" t="s">
        <v>156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5">
      <c r="A338" t="s">
        <v>531</v>
      </c>
      <c r="B338" t="s">
        <v>27</v>
      </c>
      <c r="C338" t="s">
        <v>41</v>
      </c>
      <c r="D338" t="s">
        <v>87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5">
      <c r="A339" t="s">
        <v>532</v>
      </c>
      <c r="B339" t="s">
        <v>78</v>
      </c>
      <c r="C339" t="s">
        <v>69</v>
      </c>
      <c r="D339" t="s">
        <v>360</v>
      </c>
      <c r="E339">
        <v>5</v>
      </c>
      <c r="F339">
        <v>3</v>
      </c>
      <c r="G339">
        <v>15</v>
      </c>
      <c r="H339" t="s">
        <v>49</v>
      </c>
      <c r="I339" t="s">
        <v>38</v>
      </c>
      <c r="J339" s="1">
        <v>45110</v>
      </c>
      <c r="K339" t="b">
        <v>0</v>
      </c>
    </row>
    <row r="340" spans="1:11" x14ac:dyDescent="0.35">
      <c r="A340" t="s">
        <v>533</v>
      </c>
      <c r="B340" t="s">
        <v>113</v>
      </c>
      <c r="C340" t="s">
        <v>32</v>
      </c>
      <c r="D340" t="s">
        <v>189</v>
      </c>
      <c r="E340">
        <v>33.5</v>
      </c>
      <c r="F340">
        <v>2</v>
      </c>
      <c r="G340">
        <v>67</v>
      </c>
      <c r="H340" t="s">
        <v>49</v>
      </c>
      <c r="I340" t="s">
        <v>38</v>
      </c>
      <c r="J340" s="1">
        <v>45221</v>
      </c>
      <c r="K340" t="b">
        <v>0</v>
      </c>
    </row>
    <row r="341" spans="1:11" x14ac:dyDescent="0.35">
      <c r="A341" t="s">
        <v>534</v>
      </c>
      <c r="B341" t="s">
        <v>105</v>
      </c>
      <c r="C341" t="s">
        <v>32</v>
      </c>
      <c r="D341" t="s">
        <v>367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  <c r="K341" t="b">
        <v>0</v>
      </c>
    </row>
    <row r="342" spans="1:11" x14ac:dyDescent="0.35">
      <c r="A342" t="s">
        <v>535</v>
      </c>
      <c r="B342" t="s">
        <v>18</v>
      </c>
      <c r="C342" t="s">
        <v>32</v>
      </c>
      <c r="D342" t="s">
        <v>99</v>
      </c>
      <c r="E342">
        <v>11</v>
      </c>
      <c r="F342">
        <v>1</v>
      </c>
      <c r="G342">
        <v>11</v>
      </c>
      <c r="H342" t="s">
        <v>49</v>
      </c>
      <c r="I342" t="s">
        <v>16</v>
      </c>
      <c r="J342" s="1">
        <v>45203</v>
      </c>
      <c r="K342" t="b">
        <v>0</v>
      </c>
    </row>
    <row r="343" spans="1:11" x14ac:dyDescent="0.35">
      <c r="A343" t="s">
        <v>536</v>
      </c>
      <c r="B343" t="s">
        <v>18</v>
      </c>
      <c r="C343" t="s">
        <v>69</v>
      </c>
      <c r="D343" t="s">
        <v>422</v>
      </c>
      <c r="E343">
        <v>41</v>
      </c>
      <c r="F343">
        <v>8</v>
      </c>
      <c r="G343">
        <v>328</v>
      </c>
      <c r="H343" t="s">
        <v>49</v>
      </c>
      <c r="I343" t="s">
        <v>16</v>
      </c>
      <c r="J343" s="1">
        <v>44734</v>
      </c>
      <c r="K343" t="b">
        <v>1</v>
      </c>
    </row>
    <row r="344" spans="1:11" x14ac:dyDescent="0.35">
      <c r="A344" t="s">
        <v>537</v>
      </c>
      <c r="B344" t="s">
        <v>65</v>
      </c>
      <c r="C344" t="s">
        <v>28</v>
      </c>
      <c r="D344" t="s">
        <v>271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  <c r="K344" t="b">
        <v>1</v>
      </c>
    </row>
    <row r="345" spans="1:11" x14ac:dyDescent="0.35">
      <c r="A345" t="s">
        <v>538</v>
      </c>
      <c r="B345" t="s">
        <v>89</v>
      </c>
      <c r="C345" t="s">
        <v>28</v>
      </c>
      <c r="D345" t="s">
        <v>61</v>
      </c>
      <c r="E345">
        <v>24.5</v>
      </c>
      <c r="F345">
        <v>1</v>
      </c>
      <c r="G345">
        <v>24.5</v>
      </c>
      <c r="H345" t="s">
        <v>49</v>
      </c>
      <c r="I345" t="s">
        <v>38</v>
      </c>
      <c r="J345" s="1">
        <v>44873</v>
      </c>
      <c r="K345" t="b">
        <v>1</v>
      </c>
    </row>
    <row r="346" spans="1:11" x14ac:dyDescent="0.35">
      <c r="A346" t="s">
        <v>539</v>
      </c>
      <c r="B346" t="s">
        <v>72</v>
      </c>
      <c r="C346" t="s">
        <v>23</v>
      </c>
      <c r="D346" t="s">
        <v>309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5">
      <c r="A347" t="s">
        <v>540</v>
      </c>
      <c r="B347" t="s">
        <v>103</v>
      </c>
      <c r="C347" t="s">
        <v>135</v>
      </c>
      <c r="D347" t="s">
        <v>246</v>
      </c>
      <c r="E347">
        <v>15.5</v>
      </c>
      <c r="F347">
        <v>1</v>
      </c>
      <c r="G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5">
      <c r="A348" t="s">
        <v>541</v>
      </c>
      <c r="B348" t="s">
        <v>68</v>
      </c>
      <c r="C348" t="s">
        <v>69</v>
      </c>
      <c r="D348" t="s">
        <v>369</v>
      </c>
      <c r="E348">
        <v>21.5</v>
      </c>
      <c r="F348">
        <v>2</v>
      </c>
      <c r="G348">
        <v>43</v>
      </c>
      <c r="H348" t="s">
        <v>49</v>
      </c>
      <c r="I348" t="s">
        <v>16</v>
      </c>
      <c r="J348" s="1">
        <v>45187</v>
      </c>
      <c r="K348" t="b">
        <v>1</v>
      </c>
    </row>
    <row r="349" spans="1:11" x14ac:dyDescent="0.35">
      <c r="A349" t="s">
        <v>542</v>
      </c>
      <c r="B349" t="s">
        <v>68</v>
      </c>
      <c r="C349" t="s">
        <v>19</v>
      </c>
      <c r="D349" t="s">
        <v>543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5">
      <c r="A350" t="s">
        <v>544</v>
      </c>
      <c r="B350" t="s">
        <v>47</v>
      </c>
      <c r="C350" t="s">
        <v>13</v>
      </c>
      <c r="D350" t="s">
        <v>506</v>
      </c>
      <c r="E350">
        <v>33.5</v>
      </c>
      <c r="F350">
        <v>8</v>
      </c>
      <c r="G350">
        <v>268</v>
      </c>
      <c r="H350" t="s">
        <v>49</v>
      </c>
      <c r="I350" t="s">
        <v>16</v>
      </c>
      <c r="J350" s="1">
        <v>44867</v>
      </c>
      <c r="K350" t="b">
        <v>1</v>
      </c>
    </row>
    <row r="351" spans="1:11" x14ac:dyDescent="0.35">
      <c r="A351" t="s">
        <v>545</v>
      </c>
      <c r="B351" t="s">
        <v>40</v>
      </c>
      <c r="C351" t="s">
        <v>23</v>
      </c>
      <c r="D351" t="s">
        <v>51</v>
      </c>
      <c r="E351">
        <v>8</v>
      </c>
      <c r="F351">
        <v>2</v>
      </c>
      <c r="G351">
        <v>16</v>
      </c>
      <c r="H351" t="s">
        <v>49</v>
      </c>
      <c r="I351" t="s">
        <v>38</v>
      </c>
      <c r="J351" s="1">
        <v>44579</v>
      </c>
      <c r="K351" t="b">
        <v>1</v>
      </c>
    </row>
    <row r="352" spans="1:11" x14ac:dyDescent="0.35">
      <c r="A352" t="s">
        <v>546</v>
      </c>
      <c r="B352" t="s">
        <v>40</v>
      </c>
      <c r="C352" t="s">
        <v>135</v>
      </c>
      <c r="D352" t="s">
        <v>162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5">
      <c r="A353" t="s">
        <v>547</v>
      </c>
      <c r="B353" t="s">
        <v>44</v>
      </c>
      <c r="C353" t="s">
        <v>135</v>
      </c>
      <c r="D353" t="s">
        <v>230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5">
      <c r="A354" t="s">
        <v>548</v>
      </c>
      <c r="B354" t="s">
        <v>72</v>
      </c>
      <c r="C354" t="s">
        <v>32</v>
      </c>
      <c r="D354" t="s">
        <v>95</v>
      </c>
      <c r="E354">
        <v>24.5</v>
      </c>
      <c r="F354">
        <v>6</v>
      </c>
      <c r="G354">
        <v>147</v>
      </c>
      <c r="H354" t="s">
        <v>49</v>
      </c>
      <c r="I354" t="s">
        <v>38</v>
      </c>
      <c r="J354" s="1">
        <v>45057</v>
      </c>
      <c r="K354" t="b">
        <v>0</v>
      </c>
    </row>
    <row r="355" spans="1:11" x14ac:dyDescent="0.35">
      <c r="A355" t="s">
        <v>549</v>
      </c>
      <c r="B355" t="s">
        <v>44</v>
      </c>
      <c r="C355" t="s">
        <v>41</v>
      </c>
      <c r="D355" t="s">
        <v>87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5">
      <c r="A356" t="s">
        <v>550</v>
      </c>
      <c r="B356" t="s">
        <v>128</v>
      </c>
      <c r="C356" t="s">
        <v>41</v>
      </c>
      <c r="D356" t="s">
        <v>87</v>
      </c>
      <c r="E356">
        <v>26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  <c r="K356" t="b">
        <v>1</v>
      </c>
    </row>
    <row r="357" spans="1:11" x14ac:dyDescent="0.35">
      <c r="A357" t="s">
        <v>551</v>
      </c>
      <c r="B357" t="s">
        <v>94</v>
      </c>
      <c r="C357" t="s">
        <v>19</v>
      </c>
      <c r="D357" t="s">
        <v>276</v>
      </c>
      <c r="E357">
        <v>32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5">
      <c r="A358" t="s">
        <v>552</v>
      </c>
      <c r="B358" t="s">
        <v>40</v>
      </c>
      <c r="C358" t="s">
        <v>135</v>
      </c>
      <c r="D358" t="s">
        <v>329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5">
      <c r="A359" t="s">
        <v>553</v>
      </c>
      <c r="B359" t="s">
        <v>22</v>
      </c>
      <c r="C359" t="s">
        <v>23</v>
      </c>
      <c r="D359" t="s">
        <v>554</v>
      </c>
      <c r="E359">
        <v>11</v>
      </c>
      <c r="F359">
        <v>4</v>
      </c>
      <c r="G359">
        <v>44</v>
      </c>
      <c r="H359" t="s">
        <v>49</v>
      </c>
      <c r="I359" t="s">
        <v>38</v>
      </c>
      <c r="J359" s="1">
        <v>45254</v>
      </c>
      <c r="K359" t="b">
        <v>0</v>
      </c>
    </row>
    <row r="360" spans="1:11" x14ac:dyDescent="0.35">
      <c r="A360" t="s">
        <v>555</v>
      </c>
      <c r="B360" t="s">
        <v>94</v>
      </c>
      <c r="C360" t="s">
        <v>19</v>
      </c>
      <c r="D360" t="s">
        <v>556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5">
      <c r="A361" t="s">
        <v>557</v>
      </c>
      <c r="B361" t="s">
        <v>128</v>
      </c>
      <c r="C361" t="s">
        <v>135</v>
      </c>
      <c r="D361" t="s">
        <v>144</v>
      </c>
      <c r="E361">
        <v>11</v>
      </c>
      <c r="F361">
        <v>1</v>
      </c>
      <c r="G361">
        <v>11</v>
      </c>
      <c r="H361" t="s">
        <v>49</v>
      </c>
      <c r="I361" t="s">
        <v>16</v>
      </c>
      <c r="J361" s="1">
        <v>45156</v>
      </c>
      <c r="K361" t="b">
        <v>1</v>
      </c>
    </row>
    <row r="362" spans="1:11" x14ac:dyDescent="0.35">
      <c r="A362" t="s">
        <v>558</v>
      </c>
      <c r="B362" t="s">
        <v>40</v>
      </c>
      <c r="C362" t="s">
        <v>41</v>
      </c>
      <c r="D362" t="s">
        <v>559</v>
      </c>
      <c r="E362">
        <v>9.5</v>
      </c>
      <c r="F362">
        <v>8</v>
      </c>
      <c r="G362">
        <v>76</v>
      </c>
      <c r="H362" t="s">
        <v>49</v>
      </c>
      <c r="I362" t="s">
        <v>38</v>
      </c>
      <c r="J362" s="1">
        <v>44934</v>
      </c>
      <c r="K362" t="b">
        <v>1</v>
      </c>
    </row>
    <row r="363" spans="1:11" x14ac:dyDescent="0.35">
      <c r="A363" t="s">
        <v>560</v>
      </c>
      <c r="B363" t="s">
        <v>94</v>
      </c>
      <c r="C363" t="s">
        <v>13</v>
      </c>
      <c r="D363" t="s">
        <v>458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  <c r="K363" t="b">
        <v>1</v>
      </c>
    </row>
    <row r="364" spans="1:11" x14ac:dyDescent="0.35">
      <c r="A364" t="s">
        <v>561</v>
      </c>
      <c r="B364" t="s">
        <v>121</v>
      </c>
      <c r="C364" t="s">
        <v>69</v>
      </c>
      <c r="D364" t="s">
        <v>562</v>
      </c>
      <c r="E364">
        <v>26</v>
      </c>
      <c r="F364">
        <v>1</v>
      </c>
      <c r="G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5">
      <c r="A365" t="s">
        <v>563</v>
      </c>
      <c r="B365" t="s">
        <v>47</v>
      </c>
      <c r="C365" t="s">
        <v>32</v>
      </c>
      <c r="D365" t="s">
        <v>133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5">
      <c r="A366" t="s">
        <v>564</v>
      </c>
      <c r="B366" t="s">
        <v>94</v>
      </c>
      <c r="C366" t="s">
        <v>13</v>
      </c>
      <c r="D366" t="s">
        <v>374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5">
      <c r="A367" t="s">
        <v>565</v>
      </c>
      <c r="B367" t="s">
        <v>27</v>
      </c>
      <c r="C367" t="s">
        <v>28</v>
      </c>
      <c r="D367" t="s">
        <v>481</v>
      </c>
      <c r="E367">
        <v>8</v>
      </c>
      <c r="F367">
        <v>9</v>
      </c>
      <c r="G367">
        <v>72</v>
      </c>
      <c r="H367" t="s">
        <v>49</v>
      </c>
      <c r="I367" t="s">
        <v>16</v>
      </c>
      <c r="J367" s="1">
        <v>45374</v>
      </c>
      <c r="K367" t="b">
        <v>1</v>
      </c>
    </row>
    <row r="368" spans="1:11" x14ac:dyDescent="0.35">
      <c r="A368" t="s">
        <v>566</v>
      </c>
      <c r="B368" t="s">
        <v>22</v>
      </c>
      <c r="C368" t="s">
        <v>32</v>
      </c>
      <c r="D368" t="s">
        <v>189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5">
      <c r="A369" t="s">
        <v>567</v>
      </c>
      <c r="B369" t="s">
        <v>84</v>
      </c>
      <c r="C369" t="s">
        <v>32</v>
      </c>
      <c r="D369" t="s">
        <v>99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5">
      <c r="A370" t="s">
        <v>568</v>
      </c>
      <c r="B370" t="s">
        <v>31</v>
      </c>
      <c r="C370" t="s">
        <v>69</v>
      </c>
      <c r="D370" t="s">
        <v>371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  <c r="K370" t="b">
        <v>1</v>
      </c>
    </row>
    <row r="371" spans="1:11" x14ac:dyDescent="0.35">
      <c r="A371" t="s">
        <v>569</v>
      </c>
      <c r="B371" t="s">
        <v>118</v>
      </c>
      <c r="C371" t="s">
        <v>19</v>
      </c>
      <c r="D371" t="s">
        <v>346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  <c r="K371" t="b">
        <v>1</v>
      </c>
    </row>
    <row r="372" spans="1:11" x14ac:dyDescent="0.35">
      <c r="A372" t="s">
        <v>570</v>
      </c>
      <c r="B372" t="s">
        <v>47</v>
      </c>
      <c r="C372" t="s">
        <v>23</v>
      </c>
      <c r="D372" t="s">
        <v>554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  <c r="K372" t="b">
        <v>1</v>
      </c>
    </row>
    <row r="373" spans="1:11" x14ac:dyDescent="0.35">
      <c r="A373" t="s">
        <v>571</v>
      </c>
      <c r="B373" t="s">
        <v>81</v>
      </c>
      <c r="C373" t="s">
        <v>13</v>
      </c>
      <c r="D373" t="s">
        <v>208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  <c r="K373" t="b">
        <v>1</v>
      </c>
    </row>
    <row r="374" spans="1:11" x14ac:dyDescent="0.35">
      <c r="A374" t="s">
        <v>572</v>
      </c>
      <c r="B374" t="s">
        <v>89</v>
      </c>
      <c r="C374" t="s">
        <v>69</v>
      </c>
      <c r="D374" t="s">
        <v>369</v>
      </c>
      <c r="E374">
        <v>21.5</v>
      </c>
      <c r="F374">
        <v>2</v>
      </c>
      <c r="G374">
        <v>43</v>
      </c>
      <c r="H374" t="s">
        <v>49</v>
      </c>
      <c r="I374" t="s">
        <v>16</v>
      </c>
      <c r="J374" s="1">
        <v>44814</v>
      </c>
      <c r="K374" t="b">
        <v>0</v>
      </c>
    </row>
    <row r="375" spans="1:11" x14ac:dyDescent="0.35">
      <c r="A375" t="s">
        <v>573</v>
      </c>
      <c r="B375" t="s">
        <v>128</v>
      </c>
      <c r="C375" t="s">
        <v>28</v>
      </c>
      <c r="D375" t="s">
        <v>574</v>
      </c>
      <c r="E375">
        <v>29</v>
      </c>
      <c r="F375">
        <v>1</v>
      </c>
      <c r="G375">
        <v>29</v>
      </c>
      <c r="H375" t="s">
        <v>49</v>
      </c>
      <c r="I375" t="s">
        <v>38</v>
      </c>
      <c r="J375" s="1">
        <v>44894</v>
      </c>
      <c r="K375" t="b">
        <v>1</v>
      </c>
    </row>
    <row r="376" spans="1:11" x14ac:dyDescent="0.35">
      <c r="A376" t="s">
        <v>575</v>
      </c>
      <c r="B376" t="s">
        <v>78</v>
      </c>
      <c r="C376" t="s">
        <v>19</v>
      </c>
      <c r="D376" t="s">
        <v>346</v>
      </c>
      <c r="E376">
        <v>26</v>
      </c>
      <c r="F376">
        <v>7</v>
      </c>
      <c r="G376">
        <v>182</v>
      </c>
      <c r="H376" t="s">
        <v>15</v>
      </c>
      <c r="I376" t="s">
        <v>38</v>
      </c>
      <c r="J376" s="1">
        <v>44785</v>
      </c>
      <c r="K376" t="b">
        <v>1</v>
      </c>
    </row>
    <row r="377" spans="1:11" x14ac:dyDescent="0.35">
      <c r="A377" t="s">
        <v>576</v>
      </c>
      <c r="B377" t="s">
        <v>68</v>
      </c>
      <c r="C377" t="s">
        <v>23</v>
      </c>
      <c r="D377" t="s">
        <v>309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5">
      <c r="A378" t="s">
        <v>577</v>
      </c>
      <c r="B378" t="s">
        <v>89</v>
      </c>
      <c r="C378" t="s">
        <v>13</v>
      </c>
      <c r="D378" t="s">
        <v>168</v>
      </c>
      <c r="E378">
        <v>24.5</v>
      </c>
      <c r="F378">
        <v>4</v>
      </c>
      <c r="G378">
        <v>98</v>
      </c>
      <c r="H378" t="s">
        <v>49</v>
      </c>
      <c r="I378" t="s">
        <v>16</v>
      </c>
      <c r="J378" s="1">
        <v>44657</v>
      </c>
      <c r="K378" t="b">
        <v>1</v>
      </c>
    </row>
    <row r="379" spans="1:11" x14ac:dyDescent="0.35">
      <c r="A379" t="s">
        <v>578</v>
      </c>
      <c r="B379" t="s">
        <v>94</v>
      </c>
      <c r="C379" t="s">
        <v>19</v>
      </c>
      <c r="D379" t="s">
        <v>274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5">
      <c r="A380" t="s">
        <v>579</v>
      </c>
      <c r="B380" t="s">
        <v>31</v>
      </c>
      <c r="C380" t="s">
        <v>41</v>
      </c>
      <c r="D380" t="s">
        <v>85</v>
      </c>
      <c r="E380">
        <v>24.5</v>
      </c>
      <c r="F380">
        <v>4</v>
      </c>
      <c r="G380">
        <v>98</v>
      </c>
      <c r="H380" t="s">
        <v>49</v>
      </c>
      <c r="I380" t="s">
        <v>38</v>
      </c>
      <c r="J380" s="1">
        <v>45089</v>
      </c>
      <c r="K380" t="b">
        <v>1</v>
      </c>
    </row>
    <row r="381" spans="1:11" x14ac:dyDescent="0.35">
      <c r="A381" t="s">
        <v>580</v>
      </c>
      <c r="B381" t="s">
        <v>103</v>
      </c>
      <c r="C381" t="s">
        <v>28</v>
      </c>
      <c r="D381" t="s">
        <v>109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5">
      <c r="A382" t="s">
        <v>581</v>
      </c>
      <c r="B382" t="s">
        <v>121</v>
      </c>
      <c r="C382" t="s">
        <v>13</v>
      </c>
      <c r="D382" t="s">
        <v>523</v>
      </c>
      <c r="E382">
        <v>15.5</v>
      </c>
      <c r="F382">
        <v>7</v>
      </c>
      <c r="G382">
        <v>108.5</v>
      </c>
      <c r="H382" t="s">
        <v>49</v>
      </c>
      <c r="I382" t="s">
        <v>38</v>
      </c>
      <c r="J382" s="1">
        <v>45132</v>
      </c>
      <c r="K382" t="b">
        <v>1</v>
      </c>
    </row>
    <row r="383" spans="1:11" x14ac:dyDescent="0.35">
      <c r="A383" t="s">
        <v>582</v>
      </c>
      <c r="B383" t="s">
        <v>44</v>
      </c>
      <c r="C383" t="s">
        <v>13</v>
      </c>
      <c r="D383" t="s">
        <v>583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  <c r="K383" t="b">
        <v>1</v>
      </c>
    </row>
    <row r="384" spans="1:11" x14ac:dyDescent="0.35">
      <c r="A384" t="s">
        <v>584</v>
      </c>
      <c r="B384" t="s">
        <v>128</v>
      </c>
      <c r="C384" t="s">
        <v>13</v>
      </c>
      <c r="D384" t="s">
        <v>138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  <c r="K384" t="b">
        <v>1</v>
      </c>
    </row>
    <row r="385" spans="1:11" x14ac:dyDescent="0.35">
      <c r="A385" t="s">
        <v>585</v>
      </c>
      <c r="B385" t="s">
        <v>118</v>
      </c>
      <c r="C385" t="s">
        <v>28</v>
      </c>
      <c r="D385" t="s">
        <v>75</v>
      </c>
      <c r="E385">
        <v>14</v>
      </c>
      <c r="F385">
        <v>5</v>
      </c>
      <c r="G385">
        <v>70</v>
      </c>
      <c r="H385" t="s">
        <v>49</v>
      </c>
      <c r="I385" t="s">
        <v>38</v>
      </c>
      <c r="J385" s="1">
        <v>45655</v>
      </c>
      <c r="K385" t="b">
        <v>1</v>
      </c>
    </row>
    <row r="386" spans="1:11" x14ac:dyDescent="0.35">
      <c r="A386" t="s">
        <v>586</v>
      </c>
      <c r="B386" t="s">
        <v>47</v>
      </c>
      <c r="C386" t="s">
        <v>23</v>
      </c>
      <c r="D386" t="s">
        <v>119</v>
      </c>
      <c r="E386">
        <v>38</v>
      </c>
      <c r="F386">
        <v>1</v>
      </c>
      <c r="G386">
        <v>38</v>
      </c>
      <c r="H386" t="s">
        <v>49</v>
      </c>
      <c r="I386" t="s">
        <v>38</v>
      </c>
      <c r="J386" s="1">
        <v>45006</v>
      </c>
      <c r="K386" t="b">
        <v>0</v>
      </c>
    </row>
    <row r="387" spans="1:11" x14ac:dyDescent="0.35">
      <c r="A387" t="s">
        <v>587</v>
      </c>
      <c r="B387" t="s">
        <v>78</v>
      </c>
      <c r="C387" t="s">
        <v>135</v>
      </c>
      <c r="D387" t="s">
        <v>363</v>
      </c>
      <c r="E387">
        <v>32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5">
      <c r="A388" t="s">
        <v>588</v>
      </c>
      <c r="B388" t="s">
        <v>128</v>
      </c>
      <c r="C388" t="s">
        <v>13</v>
      </c>
      <c r="D388" t="s">
        <v>589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  <c r="K388" t="b">
        <v>1</v>
      </c>
    </row>
    <row r="389" spans="1:11" x14ac:dyDescent="0.35">
      <c r="A389" t="s">
        <v>590</v>
      </c>
      <c r="B389" t="s">
        <v>78</v>
      </c>
      <c r="C389" t="s">
        <v>23</v>
      </c>
      <c r="D389" t="s">
        <v>591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5">
      <c r="A390" t="s">
        <v>592</v>
      </c>
      <c r="B390" t="s">
        <v>22</v>
      </c>
      <c r="C390" t="s">
        <v>41</v>
      </c>
      <c r="D390" t="s">
        <v>344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5">
      <c r="A391" t="s">
        <v>593</v>
      </c>
      <c r="B391" t="s">
        <v>172</v>
      </c>
      <c r="C391" t="s">
        <v>69</v>
      </c>
      <c r="D391" t="s">
        <v>351</v>
      </c>
      <c r="E391">
        <v>27.5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  <c r="K391" t="b">
        <v>1</v>
      </c>
    </row>
    <row r="392" spans="1:11" x14ac:dyDescent="0.35">
      <c r="A392" t="s">
        <v>594</v>
      </c>
      <c r="B392" t="s">
        <v>84</v>
      </c>
      <c r="C392" t="s">
        <v>19</v>
      </c>
      <c r="D392" t="s">
        <v>274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5">
      <c r="A393" t="s">
        <v>595</v>
      </c>
      <c r="B393" t="s">
        <v>65</v>
      </c>
      <c r="C393" t="s">
        <v>69</v>
      </c>
      <c r="D393" t="s">
        <v>379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  <c r="K393" t="b">
        <v>1</v>
      </c>
    </row>
    <row r="394" spans="1:11" x14ac:dyDescent="0.35">
      <c r="A394" t="s">
        <v>596</v>
      </c>
      <c r="B394" t="s">
        <v>94</v>
      </c>
      <c r="C394" t="s">
        <v>69</v>
      </c>
      <c r="D394" t="s">
        <v>249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  <c r="K394" t="b">
        <v>1</v>
      </c>
    </row>
    <row r="395" spans="1:11" x14ac:dyDescent="0.35">
      <c r="A395" t="s">
        <v>597</v>
      </c>
      <c r="B395" t="s">
        <v>40</v>
      </c>
      <c r="C395" t="s">
        <v>41</v>
      </c>
      <c r="D395" t="s">
        <v>42</v>
      </c>
      <c r="E395">
        <v>33.5</v>
      </c>
      <c r="F395">
        <v>2</v>
      </c>
      <c r="G395">
        <v>67</v>
      </c>
      <c r="H395" t="s">
        <v>49</v>
      </c>
      <c r="I395" t="s">
        <v>16</v>
      </c>
      <c r="J395" s="1">
        <v>44817</v>
      </c>
      <c r="K395" t="b">
        <v>0</v>
      </c>
    </row>
    <row r="396" spans="1:11" x14ac:dyDescent="0.35">
      <c r="A396" t="s">
        <v>598</v>
      </c>
      <c r="B396" t="s">
        <v>84</v>
      </c>
      <c r="C396" t="s">
        <v>13</v>
      </c>
      <c r="D396" t="s">
        <v>374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5">
      <c r="A397" t="s">
        <v>599</v>
      </c>
      <c r="B397" t="s">
        <v>84</v>
      </c>
      <c r="C397" t="s">
        <v>28</v>
      </c>
      <c r="D397" t="s">
        <v>481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  <c r="K397" t="b">
        <v>1</v>
      </c>
    </row>
    <row r="398" spans="1:11" x14ac:dyDescent="0.35">
      <c r="A398" t="s">
        <v>600</v>
      </c>
      <c r="B398" t="s">
        <v>94</v>
      </c>
      <c r="C398" t="s">
        <v>23</v>
      </c>
      <c r="D398" t="s">
        <v>601</v>
      </c>
      <c r="E398">
        <v>12.5</v>
      </c>
      <c r="F398">
        <v>9</v>
      </c>
      <c r="G398">
        <v>112.5</v>
      </c>
      <c r="H398" t="s">
        <v>49</v>
      </c>
      <c r="I398" t="s">
        <v>16</v>
      </c>
      <c r="J398" s="1">
        <v>44786</v>
      </c>
      <c r="K398" t="b">
        <v>0</v>
      </c>
    </row>
    <row r="399" spans="1:11" x14ac:dyDescent="0.35">
      <c r="A399" t="s">
        <v>602</v>
      </c>
      <c r="B399" t="s">
        <v>72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  <c r="K399" t="b">
        <v>1</v>
      </c>
    </row>
    <row r="400" spans="1:11" x14ac:dyDescent="0.35">
      <c r="A400" t="s">
        <v>603</v>
      </c>
      <c r="B400" t="s">
        <v>72</v>
      </c>
      <c r="C400" t="s">
        <v>23</v>
      </c>
      <c r="D400" t="s">
        <v>119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5">
      <c r="A401" t="s">
        <v>604</v>
      </c>
      <c r="B401" t="s">
        <v>89</v>
      </c>
      <c r="C401" t="s">
        <v>13</v>
      </c>
      <c r="D401" t="s">
        <v>512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  <c r="K401" t="b">
        <v>1</v>
      </c>
    </row>
    <row r="402" spans="1:11" x14ac:dyDescent="0.35">
      <c r="A402" t="s">
        <v>605</v>
      </c>
      <c r="B402" t="s">
        <v>18</v>
      </c>
      <c r="C402" t="s">
        <v>19</v>
      </c>
      <c r="D402" t="s">
        <v>287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  <c r="K402" t="b">
        <v>1</v>
      </c>
    </row>
    <row r="403" spans="1:11" x14ac:dyDescent="0.35">
      <c r="A403" t="s">
        <v>606</v>
      </c>
      <c r="B403" t="s">
        <v>27</v>
      </c>
      <c r="C403" t="s">
        <v>13</v>
      </c>
      <c r="D403" t="s">
        <v>97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5">
      <c r="A404" t="s">
        <v>607</v>
      </c>
      <c r="B404" t="s">
        <v>105</v>
      </c>
      <c r="C404" t="s">
        <v>69</v>
      </c>
      <c r="D404" t="s">
        <v>489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  <c r="K404" t="b">
        <v>1</v>
      </c>
    </row>
    <row r="405" spans="1:11" x14ac:dyDescent="0.35">
      <c r="A405" t="s">
        <v>608</v>
      </c>
      <c r="B405" t="s">
        <v>68</v>
      </c>
      <c r="C405" t="s">
        <v>32</v>
      </c>
      <c r="D405" t="s">
        <v>99</v>
      </c>
      <c r="E405">
        <v>20</v>
      </c>
      <c r="F405">
        <v>3</v>
      </c>
      <c r="G405">
        <v>60</v>
      </c>
      <c r="H405" t="s">
        <v>49</v>
      </c>
      <c r="I405" t="s">
        <v>16</v>
      </c>
      <c r="J405" s="1">
        <v>45417</v>
      </c>
      <c r="K405" t="b">
        <v>0</v>
      </c>
    </row>
    <row r="406" spans="1:11" x14ac:dyDescent="0.35">
      <c r="A406" t="s">
        <v>609</v>
      </c>
      <c r="B406" t="s">
        <v>103</v>
      </c>
      <c r="C406" t="s">
        <v>13</v>
      </c>
      <c r="D406" t="s">
        <v>63</v>
      </c>
      <c r="E406">
        <v>29</v>
      </c>
      <c r="F406">
        <v>8</v>
      </c>
      <c r="G406">
        <v>232</v>
      </c>
      <c r="H406" t="s">
        <v>49</v>
      </c>
      <c r="I406" t="s">
        <v>16</v>
      </c>
      <c r="J406" s="1">
        <v>45612</v>
      </c>
      <c r="K406" t="b">
        <v>1</v>
      </c>
    </row>
    <row r="407" spans="1:11" x14ac:dyDescent="0.35">
      <c r="A407" t="s">
        <v>610</v>
      </c>
      <c r="B407" t="s">
        <v>22</v>
      </c>
      <c r="C407" t="s">
        <v>135</v>
      </c>
      <c r="D407" t="s">
        <v>158</v>
      </c>
      <c r="E407">
        <v>39.5</v>
      </c>
      <c r="F407">
        <v>8</v>
      </c>
      <c r="G407">
        <v>316</v>
      </c>
      <c r="H407" t="s">
        <v>49</v>
      </c>
      <c r="I407" t="s">
        <v>16</v>
      </c>
      <c r="J407" s="1">
        <v>45649</v>
      </c>
      <c r="K407" t="b">
        <v>1</v>
      </c>
    </row>
    <row r="408" spans="1:11" x14ac:dyDescent="0.35">
      <c r="A408" t="s">
        <v>611</v>
      </c>
      <c r="B408" t="s">
        <v>172</v>
      </c>
      <c r="C408" t="s">
        <v>135</v>
      </c>
      <c r="D408" t="s">
        <v>162</v>
      </c>
      <c r="E408">
        <v>36.5</v>
      </c>
      <c r="F408">
        <v>2</v>
      </c>
      <c r="G408">
        <v>73</v>
      </c>
      <c r="H408" t="s">
        <v>49</v>
      </c>
      <c r="I408" t="s">
        <v>38</v>
      </c>
      <c r="J408" s="1">
        <v>45045</v>
      </c>
      <c r="K408" t="b">
        <v>0</v>
      </c>
    </row>
    <row r="409" spans="1:11" x14ac:dyDescent="0.35">
      <c r="A409" t="s">
        <v>612</v>
      </c>
      <c r="B409" t="s">
        <v>27</v>
      </c>
      <c r="C409" t="s">
        <v>41</v>
      </c>
      <c r="D409" t="s">
        <v>613</v>
      </c>
      <c r="E409">
        <v>17</v>
      </c>
      <c r="F409">
        <v>4</v>
      </c>
      <c r="G409">
        <v>68</v>
      </c>
      <c r="H409" t="s">
        <v>49</v>
      </c>
      <c r="I409" t="s">
        <v>38</v>
      </c>
      <c r="J409" s="1">
        <v>44878</v>
      </c>
      <c r="K409" t="b">
        <v>0</v>
      </c>
    </row>
    <row r="410" spans="1:11" x14ac:dyDescent="0.35">
      <c r="A410" t="s">
        <v>614</v>
      </c>
      <c r="B410" t="s">
        <v>56</v>
      </c>
      <c r="C410" t="s">
        <v>69</v>
      </c>
      <c r="D410" t="s">
        <v>106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5">
      <c r="A411" t="s">
        <v>615</v>
      </c>
      <c r="B411" t="s">
        <v>68</v>
      </c>
      <c r="C411" t="s">
        <v>69</v>
      </c>
      <c r="D411" t="s">
        <v>422</v>
      </c>
      <c r="E411">
        <v>41</v>
      </c>
      <c r="F411">
        <v>1</v>
      </c>
      <c r="G411">
        <v>41</v>
      </c>
      <c r="H411" t="s">
        <v>15</v>
      </c>
      <c r="I411" t="s">
        <v>16</v>
      </c>
      <c r="J411" s="1">
        <v>44722</v>
      </c>
      <c r="K411" t="b">
        <v>1</v>
      </c>
    </row>
    <row r="412" spans="1:11" x14ac:dyDescent="0.35">
      <c r="A412" t="s">
        <v>616</v>
      </c>
      <c r="B412" t="s">
        <v>105</v>
      </c>
      <c r="C412" t="s">
        <v>135</v>
      </c>
      <c r="D412" t="s">
        <v>363</v>
      </c>
      <c r="E412">
        <v>32</v>
      </c>
      <c r="F412">
        <v>10</v>
      </c>
      <c r="G412">
        <v>320</v>
      </c>
      <c r="H412" t="s">
        <v>49</v>
      </c>
      <c r="I412" t="s">
        <v>16</v>
      </c>
      <c r="J412" s="1">
        <v>44852</v>
      </c>
      <c r="K412" t="b">
        <v>1</v>
      </c>
    </row>
    <row r="413" spans="1:11" x14ac:dyDescent="0.35">
      <c r="A413" t="s">
        <v>617</v>
      </c>
      <c r="B413" t="s">
        <v>31</v>
      </c>
      <c r="C413" t="s">
        <v>41</v>
      </c>
      <c r="D413" t="s">
        <v>42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5">
      <c r="A414" t="s">
        <v>618</v>
      </c>
      <c r="B414" t="s">
        <v>128</v>
      </c>
      <c r="C414" t="s">
        <v>69</v>
      </c>
      <c r="D414" t="s">
        <v>354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5">
      <c r="A415" t="s">
        <v>619</v>
      </c>
      <c r="B415" t="s">
        <v>72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  <c r="K415" t="b">
        <v>1</v>
      </c>
    </row>
    <row r="416" spans="1:11" x14ac:dyDescent="0.35">
      <c r="A416" t="s">
        <v>620</v>
      </c>
      <c r="B416" t="s">
        <v>78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  <c r="K416" t="b">
        <v>1</v>
      </c>
    </row>
    <row r="417" spans="1:11" x14ac:dyDescent="0.35">
      <c r="A417" t="s">
        <v>621</v>
      </c>
      <c r="B417" t="s">
        <v>78</v>
      </c>
      <c r="C417" t="s">
        <v>135</v>
      </c>
      <c r="D417" t="s">
        <v>323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5">
      <c r="A418" t="s">
        <v>622</v>
      </c>
      <c r="B418" t="s">
        <v>72</v>
      </c>
      <c r="C418" t="s">
        <v>19</v>
      </c>
      <c r="D418" t="s">
        <v>393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5">
      <c r="A419" t="s">
        <v>623</v>
      </c>
      <c r="B419" t="s">
        <v>94</v>
      </c>
      <c r="C419" t="s">
        <v>135</v>
      </c>
      <c r="D419" t="s">
        <v>624</v>
      </c>
      <c r="E419">
        <v>21.5</v>
      </c>
      <c r="F419">
        <v>9</v>
      </c>
      <c r="G419">
        <v>193.5</v>
      </c>
      <c r="H419" t="s">
        <v>49</v>
      </c>
      <c r="I419" t="s">
        <v>16</v>
      </c>
      <c r="J419" s="1">
        <v>45600</v>
      </c>
      <c r="K419" t="b">
        <v>0</v>
      </c>
    </row>
    <row r="420" spans="1:11" x14ac:dyDescent="0.35">
      <c r="A420" t="s">
        <v>625</v>
      </c>
      <c r="B420" t="s">
        <v>103</v>
      </c>
      <c r="C420" t="s">
        <v>69</v>
      </c>
      <c r="D420" t="s">
        <v>348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  <c r="K420" t="b">
        <v>1</v>
      </c>
    </row>
    <row r="421" spans="1:11" x14ac:dyDescent="0.35">
      <c r="A421" t="s">
        <v>626</v>
      </c>
      <c r="B421" t="s">
        <v>118</v>
      </c>
      <c r="C421" t="s">
        <v>41</v>
      </c>
      <c r="D421" t="s">
        <v>45</v>
      </c>
      <c r="E421">
        <v>27.5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5">
      <c r="A422" t="s">
        <v>627</v>
      </c>
      <c r="B422" t="s">
        <v>118</v>
      </c>
      <c r="C422" t="s">
        <v>69</v>
      </c>
      <c r="D422" t="s">
        <v>467</v>
      </c>
      <c r="E422">
        <v>11</v>
      </c>
      <c r="F422">
        <v>3</v>
      </c>
      <c r="G422">
        <v>33</v>
      </c>
      <c r="H422" t="s">
        <v>49</v>
      </c>
      <c r="I422" t="s">
        <v>38</v>
      </c>
      <c r="J422" s="1">
        <v>45322</v>
      </c>
      <c r="K422" t="b">
        <v>0</v>
      </c>
    </row>
    <row r="423" spans="1:11" x14ac:dyDescent="0.35">
      <c r="A423" t="s">
        <v>628</v>
      </c>
      <c r="B423" t="s">
        <v>103</v>
      </c>
      <c r="C423" t="s">
        <v>23</v>
      </c>
      <c r="D423" t="s">
        <v>48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  <c r="K423" t="b">
        <v>1</v>
      </c>
    </row>
    <row r="424" spans="1:11" x14ac:dyDescent="0.35">
      <c r="A424" t="s">
        <v>629</v>
      </c>
      <c r="B424" t="s">
        <v>44</v>
      </c>
      <c r="C424" t="s">
        <v>69</v>
      </c>
      <c r="D424" t="s">
        <v>325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  <c r="K424" t="b">
        <v>1</v>
      </c>
    </row>
    <row r="425" spans="1:11" x14ac:dyDescent="0.35">
      <c r="A425" t="s">
        <v>630</v>
      </c>
      <c r="B425" t="s">
        <v>68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49</v>
      </c>
      <c r="I425" t="s">
        <v>16</v>
      </c>
      <c r="J425" s="1">
        <v>44755</v>
      </c>
      <c r="K425" t="b">
        <v>1</v>
      </c>
    </row>
    <row r="426" spans="1:11" x14ac:dyDescent="0.35">
      <c r="A426" t="s">
        <v>631</v>
      </c>
      <c r="B426" t="s">
        <v>40</v>
      </c>
      <c r="C426" t="s">
        <v>135</v>
      </c>
      <c r="D426" t="s">
        <v>162</v>
      </c>
      <c r="E426">
        <v>36.5</v>
      </c>
      <c r="F426">
        <v>9</v>
      </c>
      <c r="G426">
        <v>328.5</v>
      </c>
      <c r="H426" t="s">
        <v>49</v>
      </c>
      <c r="I426" t="s">
        <v>16</v>
      </c>
      <c r="J426" s="1">
        <v>44984</v>
      </c>
      <c r="K426" t="b">
        <v>0</v>
      </c>
    </row>
    <row r="427" spans="1:11" x14ac:dyDescent="0.35">
      <c r="A427" t="s">
        <v>632</v>
      </c>
      <c r="B427" t="s">
        <v>22</v>
      </c>
      <c r="C427" t="s">
        <v>28</v>
      </c>
      <c r="D427" t="s">
        <v>122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5">
      <c r="A428" t="s">
        <v>633</v>
      </c>
      <c r="B428" t="s">
        <v>44</v>
      </c>
      <c r="C428" t="s">
        <v>32</v>
      </c>
      <c r="D428" t="s">
        <v>82</v>
      </c>
      <c r="E428">
        <v>18.5</v>
      </c>
      <c r="F428">
        <v>6</v>
      </c>
      <c r="G428">
        <v>111</v>
      </c>
      <c r="H428" t="s">
        <v>49</v>
      </c>
      <c r="I428" t="s">
        <v>16</v>
      </c>
      <c r="J428" s="1">
        <v>45364</v>
      </c>
      <c r="K428" t="b">
        <v>1</v>
      </c>
    </row>
    <row r="429" spans="1:11" x14ac:dyDescent="0.35">
      <c r="A429" t="s">
        <v>634</v>
      </c>
      <c r="B429" t="s">
        <v>103</v>
      </c>
      <c r="C429" t="s">
        <v>19</v>
      </c>
      <c r="D429" t="s">
        <v>59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5">
      <c r="A430" t="s">
        <v>635</v>
      </c>
      <c r="B430" t="s">
        <v>105</v>
      </c>
      <c r="C430" t="s">
        <v>23</v>
      </c>
      <c r="D430" t="s">
        <v>357</v>
      </c>
      <c r="E430">
        <v>14</v>
      </c>
      <c r="F430">
        <v>2</v>
      </c>
      <c r="G430">
        <v>28</v>
      </c>
      <c r="H430" t="s">
        <v>49</v>
      </c>
      <c r="I430" t="s">
        <v>38</v>
      </c>
      <c r="J430" s="1">
        <v>45325</v>
      </c>
      <c r="K430" t="b">
        <v>0</v>
      </c>
    </row>
    <row r="431" spans="1:11" x14ac:dyDescent="0.35">
      <c r="A431" t="s">
        <v>636</v>
      </c>
      <c r="B431" t="s">
        <v>56</v>
      </c>
      <c r="C431" t="s">
        <v>41</v>
      </c>
      <c r="D431" t="s">
        <v>298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  <c r="K431" t="b">
        <v>1</v>
      </c>
    </row>
    <row r="432" spans="1:11" x14ac:dyDescent="0.35">
      <c r="A432" t="s">
        <v>637</v>
      </c>
      <c r="B432" t="s">
        <v>22</v>
      </c>
      <c r="C432" t="s">
        <v>69</v>
      </c>
      <c r="D432" t="s">
        <v>369</v>
      </c>
      <c r="E432">
        <v>21.5</v>
      </c>
      <c r="F432">
        <v>7</v>
      </c>
      <c r="G432">
        <v>150.5</v>
      </c>
      <c r="H432" t="s">
        <v>49</v>
      </c>
      <c r="I432" t="s">
        <v>38</v>
      </c>
      <c r="J432" s="1">
        <v>45365</v>
      </c>
      <c r="K432" t="b">
        <v>1</v>
      </c>
    </row>
    <row r="433" spans="1:11" x14ac:dyDescent="0.35">
      <c r="A433" t="s">
        <v>638</v>
      </c>
      <c r="B433" t="s">
        <v>81</v>
      </c>
      <c r="C433" t="s">
        <v>19</v>
      </c>
      <c r="D433" t="s">
        <v>253</v>
      </c>
      <c r="E433">
        <v>38</v>
      </c>
      <c r="F433">
        <v>9</v>
      </c>
      <c r="G433">
        <v>342</v>
      </c>
      <c r="H433" t="s">
        <v>49</v>
      </c>
      <c r="I433" t="s">
        <v>16</v>
      </c>
      <c r="J433" s="1">
        <v>44818</v>
      </c>
      <c r="K433" t="b">
        <v>1</v>
      </c>
    </row>
    <row r="434" spans="1:11" x14ac:dyDescent="0.35">
      <c r="A434" t="s">
        <v>639</v>
      </c>
      <c r="B434" t="s">
        <v>89</v>
      </c>
      <c r="C434" t="s">
        <v>135</v>
      </c>
      <c r="D434" t="s">
        <v>144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5">
      <c r="A435" t="s">
        <v>640</v>
      </c>
      <c r="B435" t="s">
        <v>65</v>
      </c>
      <c r="C435" t="s">
        <v>13</v>
      </c>
      <c r="D435" t="s">
        <v>168</v>
      </c>
      <c r="E435">
        <v>24.5</v>
      </c>
      <c r="F435">
        <v>6</v>
      </c>
      <c r="G435">
        <v>147</v>
      </c>
      <c r="H435" t="s">
        <v>49</v>
      </c>
      <c r="I435" t="s">
        <v>38</v>
      </c>
      <c r="J435" s="1">
        <v>45663</v>
      </c>
      <c r="K435" t="b">
        <v>1</v>
      </c>
    </row>
    <row r="436" spans="1:11" x14ac:dyDescent="0.35">
      <c r="A436" t="s">
        <v>641</v>
      </c>
      <c r="B436" t="s">
        <v>68</v>
      </c>
      <c r="C436" t="s">
        <v>135</v>
      </c>
      <c r="D436" t="s">
        <v>624</v>
      </c>
      <c r="E436">
        <v>21.5</v>
      </c>
      <c r="F436">
        <v>3</v>
      </c>
      <c r="G436">
        <v>64.5</v>
      </c>
      <c r="H436" t="s">
        <v>49</v>
      </c>
      <c r="I436" t="s">
        <v>16</v>
      </c>
      <c r="J436" s="1">
        <v>45274</v>
      </c>
      <c r="K436" t="b">
        <v>1</v>
      </c>
    </row>
    <row r="437" spans="1:11" x14ac:dyDescent="0.35">
      <c r="A437" t="s">
        <v>642</v>
      </c>
      <c r="B437" t="s">
        <v>40</v>
      </c>
      <c r="C437" t="s">
        <v>69</v>
      </c>
      <c r="D437" t="s">
        <v>216</v>
      </c>
      <c r="E437">
        <v>12.5</v>
      </c>
      <c r="F437">
        <v>1</v>
      </c>
      <c r="G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5">
      <c r="A438" t="s">
        <v>643</v>
      </c>
      <c r="B438" t="s">
        <v>31</v>
      </c>
      <c r="C438" t="s">
        <v>23</v>
      </c>
      <c r="D438" t="s">
        <v>385</v>
      </c>
      <c r="E438">
        <v>41</v>
      </c>
      <c r="F438">
        <v>5</v>
      </c>
      <c r="G438">
        <v>205</v>
      </c>
      <c r="H438" t="s">
        <v>49</v>
      </c>
      <c r="I438" t="s">
        <v>16</v>
      </c>
      <c r="J438" s="1">
        <v>44711</v>
      </c>
      <c r="K438" t="b">
        <v>1</v>
      </c>
    </row>
    <row r="439" spans="1:11" x14ac:dyDescent="0.35">
      <c r="A439" t="s">
        <v>644</v>
      </c>
      <c r="B439" t="s">
        <v>18</v>
      </c>
      <c r="C439" t="s">
        <v>41</v>
      </c>
      <c r="D439" t="s">
        <v>298</v>
      </c>
      <c r="E439">
        <v>6.5</v>
      </c>
      <c r="F439">
        <v>5</v>
      </c>
      <c r="G439">
        <v>32.5</v>
      </c>
      <c r="H439" t="s">
        <v>49</v>
      </c>
      <c r="I439" t="s">
        <v>38</v>
      </c>
      <c r="J439" s="1">
        <v>44737</v>
      </c>
      <c r="K439" t="b">
        <v>0</v>
      </c>
    </row>
    <row r="440" spans="1:11" x14ac:dyDescent="0.35">
      <c r="A440" t="s">
        <v>645</v>
      </c>
      <c r="B440" t="s">
        <v>94</v>
      </c>
      <c r="C440" t="s">
        <v>69</v>
      </c>
      <c r="D440" t="s">
        <v>562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  <c r="K440" t="b">
        <v>1</v>
      </c>
    </row>
    <row r="441" spans="1:11" x14ac:dyDescent="0.35">
      <c r="A441" t="s">
        <v>646</v>
      </c>
      <c r="B441" t="s">
        <v>40</v>
      </c>
      <c r="C441" t="s">
        <v>69</v>
      </c>
      <c r="D441" t="s">
        <v>249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  <c r="K441" t="b">
        <v>1</v>
      </c>
    </row>
    <row r="442" spans="1:11" x14ac:dyDescent="0.35">
      <c r="A442" t="s">
        <v>647</v>
      </c>
      <c r="B442" t="s">
        <v>72</v>
      </c>
      <c r="C442" t="s">
        <v>135</v>
      </c>
      <c r="D442" t="s">
        <v>153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  <c r="K442" t="b">
        <v>1</v>
      </c>
    </row>
    <row r="443" spans="1:11" x14ac:dyDescent="0.35">
      <c r="A443" t="s">
        <v>648</v>
      </c>
      <c r="B443" t="s">
        <v>47</v>
      </c>
      <c r="C443" t="s">
        <v>13</v>
      </c>
      <c r="D443" t="s">
        <v>512</v>
      </c>
      <c r="E443">
        <v>17</v>
      </c>
      <c r="F443">
        <v>6</v>
      </c>
      <c r="G443">
        <v>102</v>
      </c>
      <c r="H443" t="s">
        <v>49</v>
      </c>
      <c r="I443" t="s">
        <v>38</v>
      </c>
      <c r="J443" s="1">
        <v>45511</v>
      </c>
      <c r="K443" t="b">
        <v>1</v>
      </c>
    </row>
    <row r="444" spans="1:11" x14ac:dyDescent="0.35">
      <c r="A444" t="s">
        <v>649</v>
      </c>
      <c r="B444" t="s">
        <v>105</v>
      </c>
      <c r="C444" t="s">
        <v>23</v>
      </c>
      <c r="D444" t="s">
        <v>218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5">
      <c r="A445" t="s">
        <v>650</v>
      </c>
      <c r="B445" t="s">
        <v>118</v>
      </c>
      <c r="C445" t="s">
        <v>32</v>
      </c>
      <c r="D445" t="s">
        <v>99</v>
      </c>
      <c r="E445">
        <v>23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  <c r="K445" t="b">
        <v>1</v>
      </c>
    </row>
    <row r="446" spans="1:11" x14ac:dyDescent="0.35">
      <c r="A446" t="s">
        <v>651</v>
      </c>
      <c r="B446" t="s">
        <v>89</v>
      </c>
      <c r="C446" t="s">
        <v>32</v>
      </c>
      <c r="D446" t="s">
        <v>238</v>
      </c>
      <c r="E446">
        <v>17</v>
      </c>
      <c r="F446">
        <v>4</v>
      </c>
      <c r="G446">
        <v>68</v>
      </c>
      <c r="H446" t="s">
        <v>49</v>
      </c>
      <c r="I446" t="s">
        <v>38</v>
      </c>
      <c r="J446" s="1">
        <v>44955</v>
      </c>
      <c r="K446" t="b">
        <v>1</v>
      </c>
    </row>
    <row r="447" spans="1:11" x14ac:dyDescent="0.35">
      <c r="A447" t="s">
        <v>652</v>
      </c>
      <c r="B447" t="s">
        <v>31</v>
      </c>
      <c r="C447" t="s">
        <v>41</v>
      </c>
      <c r="D447" t="s">
        <v>85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5">
      <c r="A448" t="s">
        <v>653</v>
      </c>
      <c r="B448" t="s">
        <v>118</v>
      </c>
      <c r="C448" t="s">
        <v>135</v>
      </c>
      <c r="D448" t="s">
        <v>136</v>
      </c>
      <c r="E448">
        <v>27.5</v>
      </c>
      <c r="F448">
        <v>9</v>
      </c>
      <c r="G448">
        <v>247.5</v>
      </c>
      <c r="H448" t="s">
        <v>49</v>
      </c>
      <c r="I448" t="s">
        <v>16</v>
      </c>
      <c r="J448" s="1">
        <v>44939</v>
      </c>
      <c r="K448" t="b">
        <v>0</v>
      </c>
    </row>
    <row r="449" spans="1:11" x14ac:dyDescent="0.35">
      <c r="A449" t="s">
        <v>654</v>
      </c>
      <c r="B449" t="s">
        <v>31</v>
      </c>
      <c r="C449" t="s">
        <v>13</v>
      </c>
      <c r="D449" t="s">
        <v>208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5">
      <c r="A450" t="s">
        <v>655</v>
      </c>
      <c r="B450" t="s">
        <v>121</v>
      </c>
      <c r="C450" t="s">
        <v>13</v>
      </c>
      <c r="D450" t="s">
        <v>208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  <c r="K450" t="b">
        <v>1</v>
      </c>
    </row>
    <row r="451" spans="1:11" x14ac:dyDescent="0.35">
      <c r="A451" t="s">
        <v>656</v>
      </c>
      <c r="B451" t="s">
        <v>27</v>
      </c>
      <c r="C451" t="s">
        <v>23</v>
      </c>
      <c r="D451" t="s">
        <v>90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5">
      <c r="A452" t="s">
        <v>657</v>
      </c>
      <c r="B452" t="s">
        <v>72</v>
      </c>
      <c r="C452" t="s">
        <v>13</v>
      </c>
      <c r="D452" t="s">
        <v>658</v>
      </c>
      <c r="E452">
        <v>11</v>
      </c>
      <c r="F452">
        <v>10</v>
      </c>
      <c r="G452">
        <v>110</v>
      </c>
      <c r="H452" t="s">
        <v>49</v>
      </c>
      <c r="I452" t="s">
        <v>38</v>
      </c>
      <c r="J452" s="1">
        <v>45590</v>
      </c>
      <c r="K452" t="b">
        <v>1</v>
      </c>
    </row>
    <row r="453" spans="1:11" x14ac:dyDescent="0.35">
      <c r="A453" t="s">
        <v>659</v>
      </c>
      <c r="B453" t="s">
        <v>84</v>
      </c>
      <c r="C453" t="s">
        <v>32</v>
      </c>
      <c r="D453" t="s">
        <v>99</v>
      </c>
      <c r="E453">
        <v>26</v>
      </c>
      <c r="F453">
        <v>1</v>
      </c>
      <c r="G453">
        <v>26</v>
      </c>
      <c r="H453" t="s">
        <v>49</v>
      </c>
      <c r="I453" t="s">
        <v>16</v>
      </c>
      <c r="J453" s="1">
        <v>45313</v>
      </c>
      <c r="K453" t="b">
        <v>1</v>
      </c>
    </row>
    <row r="454" spans="1:11" x14ac:dyDescent="0.35">
      <c r="A454" t="s">
        <v>660</v>
      </c>
      <c r="B454" t="s">
        <v>72</v>
      </c>
      <c r="C454" t="s">
        <v>13</v>
      </c>
      <c r="D454" t="s">
        <v>63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5">
      <c r="A455" t="s">
        <v>661</v>
      </c>
      <c r="B455" t="s">
        <v>84</v>
      </c>
      <c r="C455" t="s">
        <v>32</v>
      </c>
      <c r="D455" t="s">
        <v>99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5">
      <c r="A456" t="s">
        <v>662</v>
      </c>
      <c r="B456" t="s">
        <v>94</v>
      </c>
      <c r="C456" t="s">
        <v>28</v>
      </c>
      <c r="D456" t="s">
        <v>129</v>
      </c>
      <c r="E456">
        <v>15.5</v>
      </c>
      <c r="F456">
        <v>5</v>
      </c>
      <c r="G456">
        <v>77.5</v>
      </c>
      <c r="H456" t="s">
        <v>49</v>
      </c>
      <c r="I456" t="s">
        <v>16</v>
      </c>
      <c r="J456" s="1">
        <v>44655</v>
      </c>
      <c r="K456" t="b">
        <v>1</v>
      </c>
    </row>
    <row r="457" spans="1:11" x14ac:dyDescent="0.35">
      <c r="A457" t="s">
        <v>663</v>
      </c>
      <c r="B457" t="s">
        <v>94</v>
      </c>
      <c r="C457" t="s">
        <v>19</v>
      </c>
      <c r="D457" t="s">
        <v>664</v>
      </c>
      <c r="E457">
        <v>30.5</v>
      </c>
      <c r="F457">
        <v>2</v>
      </c>
      <c r="G457">
        <v>61</v>
      </c>
      <c r="H457" t="s">
        <v>49</v>
      </c>
      <c r="I457" t="s">
        <v>16</v>
      </c>
      <c r="J457" s="1">
        <v>45219</v>
      </c>
      <c r="K457" t="b">
        <v>1</v>
      </c>
    </row>
    <row r="458" spans="1:11" x14ac:dyDescent="0.35">
      <c r="A458" t="s">
        <v>665</v>
      </c>
      <c r="B458" t="s">
        <v>56</v>
      </c>
      <c r="C458" t="s">
        <v>23</v>
      </c>
      <c r="D458" t="s">
        <v>554</v>
      </c>
      <c r="E458">
        <v>11</v>
      </c>
      <c r="F458">
        <v>7</v>
      </c>
      <c r="G458">
        <v>77</v>
      </c>
      <c r="H458" t="s">
        <v>49</v>
      </c>
      <c r="I458" t="s">
        <v>38</v>
      </c>
      <c r="J458" s="1">
        <v>45324</v>
      </c>
      <c r="K458" t="b">
        <v>1</v>
      </c>
    </row>
    <row r="459" spans="1:11" x14ac:dyDescent="0.35">
      <c r="A459" t="s">
        <v>666</v>
      </c>
      <c r="B459" t="s">
        <v>12</v>
      </c>
      <c r="C459" t="s">
        <v>41</v>
      </c>
      <c r="D459" t="s">
        <v>92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5">
      <c r="A460" t="s">
        <v>667</v>
      </c>
      <c r="B460" t="s">
        <v>172</v>
      </c>
      <c r="C460" t="s">
        <v>135</v>
      </c>
      <c r="D460" t="s">
        <v>240</v>
      </c>
      <c r="E460">
        <v>20</v>
      </c>
      <c r="F460">
        <v>7</v>
      </c>
      <c r="G460">
        <v>140</v>
      </c>
      <c r="H460" t="s">
        <v>49</v>
      </c>
      <c r="I460" t="s">
        <v>38</v>
      </c>
      <c r="J460" s="1">
        <v>45235</v>
      </c>
      <c r="K460" t="b">
        <v>0</v>
      </c>
    </row>
    <row r="461" spans="1:11" x14ac:dyDescent="0.35">
      <c r="A461" t="s">
        <v>668</v>
      </c>
      <c r="B461" t="s">
        <v>18</v>
      </c>
      <c r="C461" t="s">
        <v>13</v>
      </c>
      <c r="D461" t="s">
        <v>176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5">
      <c r="A462" t="s">
        <v>669</v>
      </c>
      <c r="B462" t="s">
        <v>72</v>
      </c>
      <c r="C462" t="s">
        <v>32</v>
      </c>
      <c r="D462" t="s">
        <v>99</v>
      </c>
      <c r="E462">
        <v>21.5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  <c r="K462" t="b">
        <v>1</v>
      </c>
    </row>
    <row r="463" spans="1:11" x14ac:dyDescent="0.35">
      <c r="A463" t="s">
        <v>670</v>
      </c>
      <c r="B463" t="s">
        <v>47</v>
      </c>
      <c r="C463" t="s">
        <v>32</v>
      </c>
      <c r="D463" t="s">
        <v>99</v>
      </c>
      <c r="E463">
        <v>18.5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  <c r="K463" t="b">
        <v>1</v>
      </c>
    </row>
    <row r="464" spans="1:11" x14ac:dyDescent="0.35">
      <c r="A464" t="s">
        <v>671</v>
      </c>
      <c r="B464" t="s">
        <v>128</v>
      </c>
      <c r="C464" t="s">
        <v>28</v>
      </c>
      <c r="D464" t="s">
        <v>61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  <c r="K464" t="b">
        <v>1</v>
      </c>
    </row>
    <row r="465" spans="1:11" x14ac:dyDescent="0.35">
      <c r="A465" t="s">
        <v>672</v>
      </c>
      <c r="B465" t="s">
        <v>81</v>
      </c>
      <c r="C465" t="s">
        <v>32</v>
      </c>
      <c r="D465" t="s">
        <v>99</v>
      </c>
      <c r="E465">
        <v>11</v>
      </c>
      <c r="F465">
        <v>1</v>
      </c>
      <c r="G465">
        <v>11</v>
      </c>
      <c r="H465" t="s">
        <v>15</v>
      </c>
      <c r="I465" t="s">
        <v>16</v>
      </c>
      <c r="J465" s="1">
        <v>45520</v>
      </c>
      <c r="K465" t="b">
        <v>1</v>
      </c>
    </row>
    <row r="466" spans="1:11" x14ac:dyDescent="0.35">
      <c r="A466" t="s">
        <v>673</v>
      </c>
      <c r="B466" t="s">
        <v>44</v>
      </c>
      <c r="C466" t="s">
        <v>28</v>
      </c>
      <c r="D466" t="s">
        <v>178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  <c r="K466" t="b">
        <v>1</v>
      </c>
    </row>
    <row r="467" spans="1:11" x14ac:dyDescent="0.35">
      <c r="A467" t="s">
        <v>674</v>
      </c>
      <c r="B467" t="s">
        <v>40</v>
      </c>
      <c r="C467" t="s">
        <v>13</v>
      </c>
      <c r="D467" t="s">
        <v>101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5">
      <c r="A468" t="s">
        <v>675</v>
      </c>
      <c r="B468" t="s">
        <v>44</v>
      </c>
      <c r="C468" t="s">
        <v>41</v>
      </c>
      <c r="D468" t="s">
        <v>432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5">
      <c r="A469" t="s">
        <v>676</v>
      </c>
      <c r="B469" t="s">
        <v>81</v>
      </c>
      <c r="C469" t="s">
        <v>28</v>
      </c>
      <c r="D469" t="s">
        <v>244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5">
      <c r="A470" t="s">
        <v>677</v>
      </c>
      <c r="B470" t="s">
        <v>31</v>
      </c>
      <c r="C470" t="s">
        <v>135</v>
      </c>
      <c r="D470" t="s">
        <v>296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5">
      <c r="A471" t="s">
        <v>678</v>
      </c>
      <c r="B471" t="s">
        <v>121</v>
      </c>
      <c r="C471" t="s">
        <v>135</v>
      </c>
      <c r="D471" t="s">
        <v>242</v>
      </c>
      <c r="E471">
        <v>35</v>
      </c>
      <c r="F471">
        <v>6</v>
      </c>
      <c r="G471">
        <v>210</v>
      </c>
      <c r="H471" t="s">
        <v>49</v>
      </c>
      <c r="I471" t="s">
        <v>16</v>
      </c>
      <c r="J471" s="1">
        <v>45574</v>
      </c>
      <c r="K471" t="b">
        <v>1</v>
      </c>
    </row>
    <row r="472" spans="1:11" x14ac:dyDescent="0.35">
      <c r="A472" t="s">
        <v>679</v>
      </c>
      <c r="B472" t="s">
        <v>40</v>
      </c>
      <c r="C472" t="s">
        <v>19</v>
      </c>
      <c r="D472" t="s">
        <v>664</v>
      </c>
      <c r="E472">
        <v>30.5</v>
      </c>
      <c r="F472">
        <v>3</v>
      </c>
      <c r="G472">
        <v>91.5</v>
      </c>
      <c r="H472" t="s">
        <v>49</v>
      </c>
      <c r="I472" t="s">
        <v>16</v>
      </c>
      <c r="J472" s="1">
        <v>44619</v>
      </c>
      <c r="K472" t="b">
        <v>1</v>
      </c>
    </row>
    <row r="473" spans="1:11" x14ac:dyDescent="0.35">
      <c r="A473" t="s">
        <v>680</v>
      </c>
      <c r="B473" t="s">
        <v>89</v>
      </c>
      <c r="C473" t="s">
        <v>69</v>
      </c>
      <c r="D473" t="s">
        <v>351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5">
      <c r="A474" t="s">
        <v>681</v>
      </c>
      <c r="B474" t="s">
        <v>113</v>
      </c>
      <c r="C474" t="s">
        <v>19</v>
      </c>
      <c r="D474" t="s">
        <v>66</v>
      </c>
      <c r="E474">
        <v>9.5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5">
      <c r="A475" t="s">
        <v>682</v>
      </c>
      <c r="B475" t="s">
        <v>118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5">
      <c r="A476" t="s">
        <v>684</v>
      </c>
      <c r="B476" t="s">
        <v>89</v>
      </c>
      <c r="C476" t="s">
        <v>32</v>
      </c>
      <c r="D476" t="s">
        <v>411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  <c r="K476" t="b">
        <v>1</v>
      </c>
    </row>
    <row r="477" spans="1:11" x14ac:dyDescent="0.35">
      <c r="A477" t="s">
        <v>685</v>
      </c>
      <c r="B477" t="s">
        <v>128</v>
      </c>
      <c r="C477" t="s">
        <v>41</v>
      </c>
      <c r="D477" t="s">
        <v>194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5">
      <c r="A478" t="s">
        <v>686</v>
      </c>
      <c r="B478" t="s">
        <v>78</v>
      </c>
      <c r="C478" t="s">
        <v>13</v>
      </c>
      <c r="D478" t="s">
        <v>506</v>
      </c>
      <c r="E478">
        <v>33.5</v>
      </c>
      <c r="F478">
        <v>4</v>
      </c>
      <c r="G478">
        <v>134</v>
      </c>
      <c r="H478" t="s">
        <v>49</v>
      </c>
      <c r="I478" t="s">
        <v>16</v>
      </c>
      <c r="J478" s="1">
        <v>45017</v>
      </c>
      <c r="K478" t="b">
        <v>0</v>
      </c>
    </row>
    <row r="479" spans="1:11" x14ac:dyDescent="0.35">
      <c r="A479" t="s">
        <v>687</v>
      </c>
      <c r="B479" t="s">
        <v>12</v>
      </c>
      <c r="C479" t="s">
        <v>69</v>
      </c>
      <c r="D479" t="s">
        <v>371</v>
      </c>
      <c r="E479">
        <v>36.5</v>
      </c>
      <c r="F479">
        <v>6</v>
      </c>
      <c r="G479">
        <v>219</v>
      </c>
      <c r="H479" t="s">
        <v>49</v>
      </c>
      <c r="I479" t="s">
        <v>38</v>
      </c>
      <c r="J479" s="1">
        <v>45053</v>
      </c>
      <c r="K479" t="b">
        <v>0</v>
      </c>
    </row>
    <row r="480" spans="1:11" x14ac:dyDescent="0.35">
      <c r="A480" t="s">
        <v>688</v>
      </c>
      <c r="B480" t="s">
        <v>94</v>
      </c>
      <c r="C480" t="s">
        <v>28</v>
      </c>
      <c r="D480" t="s">
        <v>261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5">
      <c r="A481" t="s">
        <v>689</v>
      </c>
      <c r="B481" t="s">
        <v>81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5">
      <c r="A482" t="s">
        <v>690</v>
      </c>
      <c r="B482" t="s">
        <v>18</v>
      </c>
      <c r="C482" t="s">
        <v>69</v>
      </c>
      <c r="D482" t="s">
        <v>106</v>
      </c>
      <c r="E482">
        <v>35</v>
      </c>
      <c r="F482">
        <v>9</v>
      </c>
      <c r="G482">
        <v>315</v>
      </c>
      <c r="H482" t="s">
        <v>49</v>
      </c>
      <c r="I482" t="s">
        <v>16</v>
      </c>
      <c r="J482" s="1">
        <v>44724</v>
      </c>
      <c r="K482" t="b">
        <v>0</v>
      </c>
    </row>
    <row r="483" spans="1:11" x14ac:dyDescent="0.35">
      <c r="A483" t="s">
        <v>691</v>
      </c>
      <c r="B483" t="s">
        <v>12</v>
      </c>
      <c r="C483" t="s">
        <v>41</v>
      </c>
      <c r="D483" t="s">
        <v>234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5">
      <c r="A484" t="s">
        <v>692</v>
      </c>
      <c r="B484" t="s">
        <v>84</v>
      </c>
      <c r="C484" t="s">
        <v>13</v>
      </c>
      <c r="D484" t="s">
        <v>512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5">
      <c r="A485" t="s">
        <v>693</v>
      </c>
      <c r="B485" t="s">
        <v>65</v>
      </c>
      <c r="C485" t="s">
        <v>19</v>
      </c>
      <c r="D485" t="s">
        <v>556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  <c r="K485" t="b">
        <v>1</v>
      </c>
    </row>
    <row r="486" spans="1:11" x14ac:dyDescent="0.35">
      <c r="A486" t="s">
        <v>694</v>
      </c>
      <c r="B486" t="s">
        <v>18</v>
      </c>
      <c r="C486" t="s">
        <v>32</v>
      </c>
      <c r="D486" t="s">
        <v>501</v>
      </c>
      <c r="E486">
        <v>29</v>
      </c>
      <c r="F486">
        <v>1</v>
      </c>
      <c r="G486">
        <v>29</v>
      </c>
      <c r="H486" t="s">
        <v>49</v>
      </c>
      <c r="I486" t="s">
        <v>16</v>
      </c>
      <c r="J486" s="1">
        <v>45483</v>
      </c>
      <c r="K486" t="b">
        <v>0</v>
      </c>
    </row>
    <row r="487" spans="1:11" x14ac:dyDescent="0.35">
      <c r="A487" t="s">
        <v>695</v>
      </c>
      <c r="B487" t="s">
        <v>31</v>
      </c>
      <c r="C487" t="s">
        <v>69</v>
      </c>
      <c r="D487" t="s">
        <v>354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5">
      <c r="A488" t="s">
        <v>696</v>
      </c>
      <c r="B488" t="s">
        <v>40</v>
      </c>
      <c r="C488" t="s">
        <v>41</v>
      </c>
      <c r="D488" t="s">
        <v>298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5">
      <c r="A489" t="s">
        <v>697</v>
      </c>
      <c r="B489" t="s">
        <v>31</v>
      </c>
      <c r="C489" t="s">
        <v>69</v>
      </c>
      <c r="D489" t="s">
        <v>325</v>
      </c>
      <c r="E489">
        <v>32</v>
      </c>
      <c r="F489">
        <v>2</v>
      </c>
      <c r="G489">
        <v>64</v>
      </c>
      <c r="H489" t="s">
        <v>49</v>
      </c>
      <c r="I489" t="s">
        <v>38</v>
      </c>
      <c r="J489" s="1">
        <v>44965</v>
      </c>
      <c r="K489" t="b">
        <v>1</v>
      </c>
    </row>
    <row r="490" spans="1:11" x14ac:dyDescent="0.35">
      <c r="A490" t="s">
        <v>698</v>
      </c>
      <c r="B490" t="s">
        <v>78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49</v>
      </c>
      <c r="I490" t="s">
        <v>38</v>
      </c>
      <c r="J490" s="1">
        <v>44585</v>
      </c>
      <c r="K490" t="b">
        <v>0</v>
      </c>
    </row>
    <row r="491" spans="1:11" x14ac:dyDescent="0.35">
      <c r="A491" t="s">
        <v>699</v>
      </c>
      <c r="B491" t="s">
        <v>172</v>
      </c>
      <c r="C491" t="s">
        <v>32</v>
      </c>
      <c r="D491" t="s">
        <v>367</v>
      </c>
      <c r="E491">
        <v>41</v>
      </c>
      <c r="F491">
        <v>3</v>
      </c>
      <c r="G491">
        <v>123</v>
      </c>
      <c r="H491" t="s">
        <v>49</v>
      </c>
      <c r="I491" t="s">
        <v>16</v>
      </c>
      <c r="J491" s="1">
        <v>45287</v>
      </c>
      <c r="K491" t="b">
        <v>1</v>
      </c>
    </row>
    <row r="492" spans="1:11" x14ac:dyDescent="0.35">
      <c r="A492" t="s">
        <v>700</v>
      </c>
      <c r="B492" t="s">
        <v>172</v>
      </c>
      <c r="C492" t="s">
        <v>135</v>
      </c>
      <c r="D492" t="s">
        <v>296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5">
      <c r="A493" t="s">
        <v>701</v>
      </c>
      <c r="B493" t="s">
        <v>172</v>
      </c>
      <c r="C493" t="s">
        <v>41</v>
      </c>
      <c r="D493" t="s">
        <v>298</v>
      </c>
      <c r="E493">
        <v>6.5</v>
      </c>
      <c r="F493">
        <v>1</v>
      </c>
      <c r="G493">
        <v>6.5</v>
      </c>
      <c r="H493" t="s">
        <v>49</v>
      </c>
      <c r="I493" t="s">
        <v>16</v>
      </c>
      <c r="J493" s="1">
        <v>45110</v>
      </c>
      <c r="K493" t="b">
        <v>1</v>
      </c>
    </row>
    <row r="494" spans="1:11" x14ac:dyDescent="0.35">
      <c r="A494" t="s">
        <v>702</v>
      </c>
      <c r="B494" t="s">
        <v>44</v>
      </c>
      <c r="C494" t="s">
        <v>32</v>
      </c>
      <c r="D494" t="s">
        <v>164</v>
      </c>
      <c r="E494">
        <v>36.5</v>
      </c>
      <c r="F494">
        <v>1</v>
      </c>
      <c r="G494">
        <v>36.5</v>
      </c>
      <c r="H494" t="s">
        <v>49</v>
      </c>
      <c r="I494" t="s">
        <v>16</v>
      </c>
      <c r="J494" s="1">
        <v>44742</v>
      </c>
      <c r="K494" t="b">
        <v>1</v>
      </c>
    </row>
    <row r="495" spans="1:11" x14ac:dyDescent="0.35">
      <c r="A495" t="s">
        <v>703</v>
      </c>
      <c r="B495" t="s">
        <v>36</v>
      </c>
      <c r="C495" t="s">
        <v>41</v>
      </c>
      <c r="D495" t="s">
        <v>42</v>
      </c>
      <c r="E495">
        <v>33.5</v>
      </c>
      <c r="F495">
        <v>1</v>
      </c>
      <c r="G495">
        <v>33.5</v>
      </c>
      <c r="H495" t="s">
        <v>15</v>
      </c>
      <c r="I495" t="s">
        <v>38</v>
      </c>
      <c r="J495" s="1">
        <v>44981</v>
      </c>
      <c r="K495" t="b">
        <v>1</v>
      </c>
    </row>
    <row r="496" spans="1:11" x14ac:dyDescent="0.35">
      <c r="A496" t="s">
        <v>704</v>
      </c>
      <c r="B496" t="s">
        <v>121</v>
      </c>
      <c r="C496" t="s">
        <v>13</v>
      </c>
      <c r="D496" t="s">
        <v>170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5">
      <c r="A497" t="s">
        <v>705</v>
      </c>
      <c r="B497" t="s">
        <v>105</v>
      </c>
      <c r="C497" t="s">
        <v>28</v>
      </c>
      <c r="D497" t="s">
        <v>271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5">
      <c r="A498" t="s">
        <v>706</v>
      </c>
      <c r="B498" t="s">
        <v>94</v>
      </c>
      <c r="C498" t="s">
        <v>135</v>
      </c>
      <c r="D498" t="s">
        <v>240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5">
      <c r="A499" t="s">
        <v>707</v>
      </c>
      <c r="B499" t="s">
        <v>94</v>
      </c>
      <c r="C499" t="s">
        <v>19</v>
      </c>
      <c r="D499" t="s">
        <v>274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5">
      <c r="A500" t="s">
        <v>708</v>
      </c>
      <c r="B500" t="s">
        <v>68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49</v>
      </c>
      <c r="I500" t="s">
        <v>16</v>
      </c>
      <c r="J500" s="1">
        <v>45575</v>
      </c>
      <c r="K500" t="b">
        <v>1</v>
      </c>
    </row>
    <row r="501" spans="1:11" x14ac:dyDescent="0.35">
      <c r="A501" t="s">
        <v>710</v>
      </c>
      <c r="B501" t="s">
        <v>47</v>
      </c>
      <c r="C501" t="s">
        <v>32</v>
      </c>
      <c r="D501" t="s">
        <v>485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3" spans="1:11" x14ac:dyDescent="0.35">
      <c r="B503" t="s">
        <v>711</v>
      </c>
      <c r="C503">
        <f>COUNTA(Table1[Category])</f>
        <v>500</v>
      </c>
    </row>
    <row r="505" spans="1:11" x14ac:dyDescent="0.35">
      <c r="B505" t="s">
        <v>712</v>
      </c>
      <c r="C505">
        <f>COUNTIF(Table1[Total Spent], "&lt;100")</f>
        <v>255</v>
      </c>
    </row>
  </sheetData>
  <conditionalFormatting sqref="A1:A1048576">
    <cfRule type="duplicateValues" dxfId="6" priority="1"/>
  </conditionalFormatting>
  <pageMargins left="0.7" right="0.7" top="0.75" bottom="0.75" header="0.3" footer="0.3"/>
  <headerFooter>
    <oddFooter>&amp;C_x000D_&amp;1#&amp;"Arial"&amp;8&amp;K2E404D Sensitivity Label: General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9FFE5-AF66-4D84-8034-A45558E852C3}">
  <dimension ref="A1:S35"/>
  <sheetViews>
    <sheetView showGridLines="0" tabSelected="1" workbookViewId="0">
      <selection activeCell="K14" sqref="K14"/>
    </sheetView>
  </sheetViews>
  <sheetFormatPr defaultRowHeight="14.5" x14ac:dyDescent="0.35"/>
  <sheetData>
    <row r="1" spans="1:19" ht="51" x14ac:dyDescent="1.1000000000000001">
      <c r="A1" s="8" t="s">
        <v>717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x14ac:dyDescent="0.3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spans="1:19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 spans="1:19" x14ac:dyDescent="0.3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 spans="1:19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 spans="1:19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 spans="1:19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19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 spans="1:19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 spans="1:19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x14ac:dyDescent="0.3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 spans="1:19" x14ac:dyDescent="0.3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 spans="1:19" x14ac:dyDescent="0.3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 spans="1:19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 spans="1:19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spans="1:19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 spans="1:19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 spans="1:19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 spans="1:19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spans="1:19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 spans="1:19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 spans="1:19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1:19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spans="1:19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spans="1:19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 spans="1:19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spans="1:19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 spans="1:19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 spans="1:19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1:19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1:19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1:19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</sheetData>
  <mergeCells count="1"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Category wise sales of payment </vt:lpstr>
      <vt:lpstr>Location wise sales</vt:lpstr>
      <vt:lpstr>Location wise total amount</vt:lpstr>
      <vt:lpstr>Total Sales Category Pivot</vt:lpstr>
      <vt:lpstr>Payment method sales</vt:lpstr>
      <vt:lpstr>retail storesales</vt:lpstr>
      <vt:lpstr>Dash 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Sukanya Govindarajan</cp:lastModifiedBy>
  <dcterms:created xsi:type="dcterms:W3CDTF">2026-06-18T08:02:02Z</dcterms:created>
  <dcterms:modified xsi:type="dcterms:W3CDTF">2026-06-20T16:30:30Z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2026-06-18T08:02:18Z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334f9d86-62b8-45e5-a9d1-e8de1d57b1b4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